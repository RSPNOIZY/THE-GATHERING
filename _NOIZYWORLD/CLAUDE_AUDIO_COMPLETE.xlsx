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m2ultra/iCloud Drive (Archive)/Desktop/CLAUDE TODAY/_NOIZYWORLD/"/>
    </mc:Choice>
  </mc:AlternateContent>
  <xr:revisionPtr revIDLastSave="0" documentId="13_ncr:1_{151CD1C4-4A4A-C54B-98D2-1166EA57FFDF}" xr6:coauthVersionLast="47" xr6:coauthVersionMax="47" xr10:uidLastSave="{00000000-0000-0000-0000-000000000000}"/>
  <bookViews>
    <workbookView xWindow="45620" yWindow="24000" windowWidth="24020" windowHeight="26700" firstSheet="1" activeTab="1" xr2:uid="{51658058-8315-A640-B733-1DFC39D6EEC8}"/>
  </bookViews>
  <sheets>
    <sheet name="Command Center" sheetId="28" r:id="rId1"/>
    <sheet name="Daily Council LIVE" sheetId="51" r:id="rId2"/>
    <sheet name="GABRIEL" sheetId="50" r:id="rId3"/>
    <sheet name="Tooling Audit" sheetId="49" r:id="rId4"/>
    <sheet name="DreamChamber Index" sheetId="48" r:id="rId5"/>
    <sheet name="The Build Chamber" sheetId="47" r:id="rId6"/>
    <sheet name="Core Base System" sheetId="33" r:id="rId7"/>
    <sheet name="Empire Timeline" sheetId="46" r:id="rId8"/>
    <sheet name="Issues &amp; Fixes" sheetId="45" r:id="rId9"/>
    <sheet name="Heaven Worker" sheetId="44" r:id="rId10"/>
    <sheet name="Cloudflare Worker" sheetId="43" r:id="rId11"/>
    <sheet name="Fix Walkthrough" sheetId="42" r:id="rId12"/>
    <sheet name="Build Readiness" sheetId="34" r:id="rId13"/>
    <sheet name="Setup To-Do" sheetId="35" r:id="rId14"/>
    <sheet name="Connector Audit" sheetId="36" r:id="rId15"/>
    <sheet name="Brand Universe" sheetId="37" r:id="rId16"/>
    <sheet name="People &amp; Agents" sheetId="38" r:id="rId17"/>
    <sheet name="Identity &amp; Footprint" sheetId="40" r:id="rId18"/>
    <sheet name="DNS &amp; Infrastructure" sheetId="41" r:id="rId19"/>
    <sheet name="Social &amp; Admin Audit" sheetId="39" r:id="rId20"/>
    <sheet name="Drive Audit" sheetId="31" r:id="rId21"/>
    <sheet name="User &amp; Email Audit" sheetId="32" r:id="rId22"/>
    <sheet name="Libraries_OLD" sheetId="1" state="veryHidden" r:id="rId23"/>
    <sheet name="Samples" sheetId="2" r:id="rId24"/>
    <sheet name="Processing" sheetId="3" r:id="rId25"/>
    <sheet name="Vendors" sheetId="4" r:id="rId26"/>
    <sheet name="Identifiers" sheetId="5" r:id="rId27"/>
    <sheet name="Tags" sheetId="6" r:id="rId28"/>
    <sheet name="Catalog" sheetId="7" state="veryHidden" r:id="rId29"/>
    <sheet name="Brands" sheetId="8" r:id="rId30"/>
    <sheet name="Distribution" sheetId="9" r:id="rId31"/>
    <sheet name="Integrity" sheetId="10" r:id="rId32"/>
    <sheet name="Scan Queue" sheetId="11" r:id="rId33"/>
    <sheet name="Search Hub" sheetId="12" r:id="rId34"/>
    <sheet name="Dashboard" sheetId="13" r:id="rId35"/>
    <sheet name="Rights &amp; Licensing" sheetId="14" r:id="rId36"/>
    <sheet name="System Wiki" sheetId="15" r:id="rId37"/>
    <sheet name="Library Catalog" sheetId="16" state="veryHidden" r:id="rId38"/>
    <sheet name="Library Index" sheetId="17" r:id="rId39"/>
    <sheet name="Naming Standard" sheetId="18" r:id="rId40"/>
    <sheet name="Scoreboard" sheetId="19" r:id="rId41"/>
    <sheet name="Credit Splits" sheetId="20" r:id="rId42"/>
    <sheet name="Clone Status" sheetId="21" r:id="rId43"/>
    <sheet name="Scan Commands" sheetId="22" r:id="rId44"/>
    <sheet name="Global Data Map" sheetId="23" r:id="rId45"/>
    <sheet name="Master Monitor" sheetId="24" r:id="rId46"/>
    <sheet name="Blend &amp; Merge Plan" sheetId="25" r:id="rId47"/>
    <sheet name="Dedupe Sim" sheetId="26" r:id="rId48"/>
    <sheet name="Load Balancer" sheetId="27" r:id="rId49"/>
    <sheet name="M2 Ultra Offload" sheetId="29" r:id="rId50"/>
    <sheet name="Action Register" sheetId="30" r:id="rId5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35" l="1"/>
  <c r="C26" i="35"/>
  <c r="B26" i="35"/>
  <c r="C19" i="34"/>
  <c r="B19" i="34"/>
  <c r="J5" i="30"/>
  <c r="J4" i="30"/>
  <c r="J3" i="30"/>
  <c r="J2" i="30"/>
  <c r="B19" i="29"/>
  <c r="B18" i="29"/>
  <c r="B17" i="29"/>
  <c r="B16" i="29"/>
  <c r="B15" i="29"/>
  <c r="A3" i="28"/>
  <c r="B22" i="27"/>
  <c r="F20" i="27"/>
  <c r="E20" i="27"/>
  <c r="D20" i="27"/>
  <c r="F19" i="27"/>
  <c r="E19" i="27"/>
  <c r="D19" i="27"/>
  <c r="F18" i="27"/>
  <c r="E18" i="27"/>
  <c r="D18" i="27"/>
  <c r="F17" i="27"/>
  <c r="E17" i="27"/>
  <c r="D17" i="27"/>
  <c r="F16" i="27"/>
  <c r="E16" i="27"/>
  <c r="D16" i="27"/>
  <c r="F12" i="27"/>
  <c r="E12" i="27"/>
  <c r="D12" i="27"/>
  <c r="C12" i="27"/>
  <c r="G11" i="27"/>
  <c r="H11" i="27" s="1"/>
  <c r="I11" i="27" s="1"/>
  <c r="F11" i="27"/>
  <c r="E11" i="27"/>
  <c r="G10" i="27"/>
  <c r="H10" i="27" s="1"/>
  <c r="I10" i="27" s="1"/>
  <c r="F10" i="27"/>
  <c r="E10" i="27"/>
  <c r="G9" i="27"/>
  <c r="H9" i="27" s="1"/>
  <c r="I9" i="27" s="1"/>
  <c r="F9" i="27"/>
  <c r="E9" i="27"/>
  <c r="G8" i="27"/>
  <c r="H8" i="27" s="1"/>
  <c r="I8" i="27" s="1"/>
  <c r="F8" i="27"/>
  <c r="E8" i="27"/>
  <c r="G7" i="27"/>
  <c r="H7" i="27" s="1"/>
  <c r="I7" i="27" s="1"/>
  <c r="F7" i="27"/>
  <c r="E7" i="27"/>
  <c r="G6" i="27"/>
  <c r="H6" i="27" s="1"/>
  <c r="I6" i="27" s="1"/>
  <c r="F6" i="27"/>
  <c r="E6" i="27"/>
  <c r="J12" i="26"/>
  <c r="I12" i="26"/>
  <c r="F12" i="26"/>
  <c r="J11" i="26"/>
  <c r="I11" i="26"/>
  <c r="F11" i="26"/>
  <c r="I10" i="26"/>
  <c r="J10" i="26" s="1"/>
  <c r="F10" i="26"/>
  <c r="I9" i="26"/>
  <c r="J9" i="26" s="1"/>
  <c r="F9" i="26"/>
  <c r="I8" i="26"/>
  <c r="J8" i="26" s="1"/>
  <c r="F8" i="26"/>
  <c r="I7" i="26"/>
  <c r="J7" i="26" s="1"/>
  <c r="F7" i="26"/>
  <c r="I6" i="26"/>
  <c r="J6" i="26" s="1"/>
  <c r="F6" i="26"/>
  <c r="I5" i="26"/>
  <c r="J5" i="26" s="1"/>
  <c r="F5" i="26"/>
  <c r="I4" i="26"/>
  <c r="J4" i="26" s="1"/>
  <c r="F4" i="26"/>
  <c r="C40" i="25"/>
  <c r="B40" i="25"/>
  <c r="K12" i="24"/>
  <c r="K14" i="24"/>
  <c r="K13" i="24"/>
  <c r="L9" i="24"/>
  <c r="K9" i="24"/>
  <c r="L8" i="24"/>
  <c r="K8" i="24"/>
  <c r="L6" i="24"/>
  <c r="K6" i="24"/>
  <c r="J1" i="24"/>
  <c r="A3" i="24"/>
  <c r="W2" i="21"/>
  <c r="H14" i="24"/>
  <c r="H13" i="24"/>
  <c r="H12" i="24"/>
  <c r="E14" i="24"/>
  <c r="E13" i="24"/>
  <c r="E12" i="24"/>
  <c r="B14" i="24"/>
  <c r="B13" i="24"/>
  <c r="B12" i="24"/>
  <c r="H9" i="24"/>
  <c r="H8" i="24"/>
  <c r="H7" i="24"/>
  <c r="H6" i="24"/>
  <c r="E9" i="24"/>
  <c r="E8" i="24"/>
  <c r="E7" i="24"/>
  <c r="E6" i="24"/>
  <c r="B9" i="24"/>
  <c r="B8" i="24"/>
  <c r="B7" i="24"/>
  <c r="B6" i="24"/>
  <c r="R8" i="23"/>
  <c r="R7" i="23"/>
  <c r="R6" i="23"/>
  <c r="R5" i="23"/>
  <c r="R4" i="23"/>
  <c r="R3" i="23"/>
  <c r="R2" i="23"/>
  <c r="S19" i="21"/>
  <c r="S18" i="21"/>
  <c r="S17" i="21"/>
  <c r="S16" i="21"/>
  <c r="S15" i="21"/>
  <c r="S14" i="21"/>
  <c r="S13" i="21"/>
  <c r="S12" i="21"/>
  <c r="S11" i="21"/>
  <c r="Q19" i="21"/>
  <c r="P19" i="21"/>
  <c r="O19" i="21"/>
  <c r="Q18" i="21"/>
  <c r="P18" i="21"/>
  <c r="O18" i="21"/>
  <c r="Q17" i="21"/>
  <c r="P17" i="21"/>
  <c r="O17" i="21"/>
  <c r="Q16" i="21"/>
  <c r="P16" i="21"/>
  <c r="O16" i="21"/>
  <c r="Q15" i="21"/>
  <c r="P15" i="21"/>
  <c r="O15" i="21"/>
  <c r="Q14" i="21"/>
  <c r="P14" i="21"/>
  <c r="O14" i="21"/>
  <c r="Q13" i="21"/>
  <c r="P13" i="21"/>
  <c r="O13" i="21"/>
  <c r="Q12" i="21"/>
  <c r="W4" i="21" s="1"/>
  <c r="P12" i="21"/>
  <c r="W3" i="21" s="1"/>
  <c r="O12" i="21"/>
  <c r="Q11" i="21"/>
  <c r="P11" i="21"/>
  <c r="O11" i="21"/>
  <c r="S10" i="21"/>
  <c r="Q10" i="21"/>
  <c r="P10" i="21"/>
  <c r="O10" i="21"/>
  <c r="X200" i="11"/>
  <c r="X199" i="11"/>
  <c r="X198" i="11"/>
  <c r="X197" i="11"/>
  <c r="X196" i="11"/>
  <c r="X195" i="11"/>
  <c r="X194" i="11"/>
  <c r="X193" i="11"/>
  <c r="X192" i="11"/>
  <c r="X191" i="11"/>
  <c r="X190" i="11"/>
  <c r="X189" i="11"/>
  <c r="X188" i="11"/>
  <c r="X187" i="11"/>
  <c r="X186" i="11"/>
  <c r="X185" i="11"/>
  <c r="X184" i="11"/>
  <c r="X183" i="11"/>
  <c r="X182" i="11"/>
  <c r="X181" i="11"/>
  <c r="X180" i="11"/>
  <c r="X179" i="11"/>
  <c r="X178" i="11"/>
  <c r="X177" i="11"/>
  <c r="X176" i="11"/>
  <c r="X175" i="11"/>
  <c r="X174" i="11"/>
  <c r="X173" i="11"/>
  <c r="X172" i="11"/>
  <c r="X171" i="11"/>
  <c r="X170" i="11"/>
  <c r="X169" i="11"/>
  <c r="X168" i="11"/>
  <c r="X167" i="11"/>
  <c r="X166" i="11"/>
  <c r="X165" i="11"/>
  <c r="X164" i="11"/>
  <c r="X163" i="11"/>
  <c r="X162" i="11"/>
  <c r="X161" i="11"/>
  <c r="X160" i="11"/>
  <c r="X159" i="11"/>
  <c r="X158" i="11"/>
  <c r="X157" i="11"/>
  <c r="X156" i="11"/>
  <c r="X155" i="11"/>
  <c r="X154" i="11"/>
  <c r="X153" i="11"/>
  <c r="X152" i="11"/>
  <c r="X151" i="11"/>
  <c r="X150" i="11"/>
  <c r="X149" i="11"/>
  <c r="X148" i="11"/>
  <c r="X147" i="11"/>
  <c r="X146" i="11"/>
  <c r="X145" i="11"/>
  <c r="X144" i="11"/>
  <c r="X143" i="11"/>
  <c r="X142" i="11"/>
  <c r="X141" i="11"/>
  <c r="X140" i="11"/>
  <c r="X139" i="11"/>
  <c r="X138" i="11"/>
  <c r="X137" i="11"/>
  <c r="X136" i="11"/>
  <c r="X135" i="11"/>
  <c r="X134" i="11"/>
  <c r="X133" i="11"/>
  <c r="X132" i="11"/>
  <c r="X131" i="11"/>
  <c r="X130" i="11"/>
  <c r="X129" i="11"/>
  <c r="X128" i="11"/>
  <c r="X127" i="11"/>
  <c r="X126" i="11"/>
  <c r="X125" i="11"/>
  <c r="X124" i="11"/>
  <c r="X123" i="11"/>
  <c r="X122" i="11"/>
  <c r="X121" i="11"/>
  <c r="X120" i="11"/>
  <c r="X119" i="11"/>
  <c r="X118" i="11"/>
  <c r="X117" i="11"/>
  <c r="X116" i="11"/>
  <c r="X115" i="11"/>
  <c r="X114" i="11"/>
  <c r="X113" i="11"/>
  <c r="X112" i="11"/>
  <c r="X111" i="11"/>
  <c r="X110" i="11"/>
  <c r="X109" i="11"/>
  <c r="X108" i="11"/>
  <c r="X107" i="11"/>
  <c r="X106" i="11"/>
  <c r="X105" i="11"/>
  <c r="X104" i="11"/>
  <c r="X103" i="11"/>
  <c r="X102" i="11"/>
  <c r="X101" i="11"/>
  <c r="X100" i="11"/>
  <c r="X99" i="11"/>
  <c r="X98" i="11"/>
  <c r="X97" i="11"/>
  <c r="X96" i="11"/>
  <c r="X95" i="11"/>
  <c r="X94" i="11"/>
  <c r="X93" i="11"/>
  <c r="X92" i="11"/>
  <c r="X91" i="11"/>
  <c r="X90" i="11"/>
  <c r="X89" i="11"/>
  <c r="X88" i="11"/>
  <c r="X87" i="11"/>
  <c r="X86" i="11"/>
  <c r="X85" i="11"/>
  <c r="X84" i="11"/>
  <c r="X83" i="11"/>
  <c r="X82" i="11"/>
  <c r="X81" i="11"/>
  <c r="X80" i="11"/>
  <c r="X79" i="11"/>
  <c r="X78" i="11"/>
  <c r="X77" i="11"/>
  <c r="X76" i="11"/>
  <c r="X75" i="11"/>
  <c r="X74" i="11"/>
  <c r="X73" i="11"/>
  <c r="X72" i="11"/>
  <c r="X71" i="11"/>
  <c r="X70" i="11"/>
  <c r="X69" i="11"/>
  <c r="X68" i="11"/>
  <c r="X67" i="11"/>
  <c r="X66" i="11"/>
  <c r="X65" i="11"/>
  <c r="X64" i="11"/>
  <c r="X63" i="11"/>
  <c r="X62" i="11"/>
  <c r="X61" i="11"/>
  <c r="X60" i="11"/>
  <c r="X59" i="11"/>
  <c r="X58" i="11"/>
  <c r="X57" i="11"/>
  <c r="X56" i="11"/>
  <c r="X55" i="11"/>
  <c r="X54" i="11"/>
  <c r="X53" i="11"/>
  <c r="X52" i="11"/>
  <c r="X51" i="11"/>
  <c r="X50" i="11"/>
  <c r="X49" i="11"/>
  <c r="X48" i="11"/>
  <c r="X47" i="11"/>
  <c r="X46" i="11"/>
  <c r="X45" i="11"/>
  <c r="X44" i="11"/>
  <c r="X43" i="11"/>
  <c r="X42" i="11"/>
  <c r="X41" i="11"/>
  <c r="X40" i="11"/>
  <c r="X39" i="11"/>
  <c r="X38" i="11"/>
  <c r="X37" i="11"/>
  <c r="X36" i="11"/>
  <c r="X35" i="11"/>
  <c r="X34" i="11"/>
  <c r="X33" i="11"/>
  <c r="X32" i="11"/>
  <c r="X31" i="11"/>
  <c r="X30" i="11"/>
  <c r="X29" i="11"/>
  <c r="X28" i="11"/>
  <c r="X27" i="11"/>
  <c r="X26" i="11"/>
  <c r="X25" i="11"/>
  <c r="X24" i="11"/>
  <c r="X23" i="11"/>
  <c r="X22" i="11"/>
  <c r="X21" i="11"/>
  <c r="X20" i="11"/>
  <c r="X19" i="11"/>
  <c r="X18" i="11"/>
  <c r="X17" i="11"/>
  <c r="X16" i="11"/>
  <c r="X15" i="11"/>
  <c r="X14" i="11"/>
  <c r="X13" i="11"/>
  <c r="X12" i="11"/>
  <c r="X11" i="11"/>
  <c r="X10" i="11"/>
  <c r="X9" i="11"/>
  <c r="X8" i="11"/>
  <c r="X7" i="11"/>
  <c r="X6" i="11"/>
  <c r="X5" i="11"/>
  <c r="X4" i="11"/>
  <c r="W6" i="21"/>
  <c r="W5" i="21"/>
  <c r="S9" i="21"/>
  <c r="Q9" i="21"/>
  <c r="P9" i="21"/>
  <c r="O9" i="21"/>
  <c r="S8" i="21"/>
  <c r="Q8" i="21"/>
  <c r="P8" i="21"/>
  <c r="O8" i="21"/>
  <c r="B20" i="20"/>
  <c r="B19" i="20"/>
  <c r="B18" i="20"/>
  <c r="C15" i="20"/>
  <c r="B15" i="20"/>
  <c r="C14" i="20"/>
  <c r="B14" i="20"/>
  <c r="C13" i="20"/>
  <c r="B13" i="20"/>
  <c r="C29" i="19"/>
  <c r="B29" i="19"/>
  <c r="C28" i="19"/>
  <c r="B28" i="19"/>
  <c r="C27" i="19"/>
  <c r="B27" i="19"/>
  <c r="C26" i="19"/>
  <c r="B26" i="19"/>
  <c r="AA12" i="10"/>
  <c r="AA11" i="10"/>
  <c r="AA10" i="10"/>
  <c r="AA9" i="10"/>
  <c r="B23" i="19"/>
  <c r="B22" i="19"/>
  <c r="B21" i="19"/>
  <c r="B20" i="19"/>
  <c r="B19" i="19"/>
  <c r="B18" i="19"/>
  <c r="E13" i="19"/>
  <c r="E12" i="19"/>
  <c r="E11" i="19"/>
  <c r="E10" i="19"/>
  <c r="B15" i="19"/>
  <c r="B14" i="19"/>
  <c r="B13" i="19"/>
  <c r="B12" i="19"/>
  <c r="B11" i="19"/>
  <c r="B10" i="19"/>
  <c r="B7" i="19"/>
  <c r="B6" i="19"/>
  <c r="B5" i="19"/>
  <c r="B38" i="18"/>
  <c r="B31" i="18"/>
  <c r="F14" i="13"/>
  <c r="D14" i="13"/>
  <c r="B14" i="13"/>
  <c r="AA2" i="17"/>
  <c r="AA3" i="17"/>
  <c r="AA4" i="17"/>
  <c r="AA5" i="17"/>
  <c r="AA6" i="17"/>
  <c r="AA2" i="16"/>
  <c r="AA3" i="16"/>
  <c r="AA4" i="16"/>
  <c r="AA5" i="16"/>
  <c r="AA6" i="16"/>
  <c r="H24" i="13"/>
  <c r="F24" i="13"/>
  <c r="D24" i="13"/>
  <c r="B24" i="13"/>
  <c r="B20" i="13"/>
  <c r="H18" i="13"/>
  <c r="F18" i="13"/>
  <c r="D18" i="13"/>
  <c r="B18" i="13"/>
  <c r="H10" i="13"/>
  <c r="F10" i="13"/>
  <c r="D10" i="13"/>
  <c r="B10" i="13"/>
  <c r="H6" i="13"/>
  <c r="F6" i="13"/>
  <c r="D6" i="13"/>
  <c r="B6" i="13"/>
  <c r="AA6" i="10"/>
  <c r="AA5" i="10"/>
  <c r="AA4" i="10"/>
  <c r="AA3" i="10"/>
  <c r="AA2" i="10"/>
  <c r="AA6" i="7"/>
  <c r="AA5" i="7"/>
  <c r="AA4" i="7"/>
  <c r="AA3" i="7"/>
  <c r="AA2" i="7"/>
  <c r="V10" i="11"/>
  <c r="V9" i="11"/>
  <c r="V8" i="11"/>
  <c r="V7" i="11"/>
  <c r="V6" i="11"/>
  <c r="V5" i="11"/>
  <c r="V4" i="11"/>
  <c r="V3" i="11"/>
  <c r="V2" i="11"/>
  <c r="B25" i="12"/>
  <c r="B24" i="12"/>
  <c r="B23" i="12"/>
  <c r="B22" i="12"/>
  <c r="B21" i="12"/>
  <c r="B20" i="12"/>
  <c r="B19" i="12"/>
  <c r="P200" i="11"/>
  <c r="O200" i="11"/>
  <c r="N200" i="11"/>
  <c r="M200" i="11"/>
  <c r="L200" i="11"/>
  <c r="P199" i="11"/>
  <c r="O199" i="11"/>
  <c r="N199" i="11"/>
  <c r="M199" i="11"/>
  <c r="L199" i="11"/>
  <c r="P198" i="11"/>
  <c r="O198" i="11"/>
  <c r="N198" i="11"/>
  <c r="M198" i="11"/>
  <c r="L198" i="11"/>
  <c r="P197" i="11"/>
  <c r="O197" i="11"/>
  <c r="N197" i="11"/>
  <c r="M197" i="11"/>
  <c r="L197" i="11"/>
  <c r="P196" i="11"/>
  <c r="O196" i="11"/>
  <c r="N196" i="11"/>
  <c r="M196" i="11"/>
  <c r="L196" i="11"/>
  <c r="P195" i="11"/>
  <c r="O195" i="11"/>
  <c r="N195" i="11"/>
  <c r="M195" i="11"/>
  <c r="L195" i="11"/>
  <c r="P194" i="11"/>
  <c r="O194" i="11"/>
  <c r="N194" i="11"/>
  <c r="M194" i="11"/>
  <c r="L194" i="11"/>
  <c r="P193" i="11"/>
  <c r="O193" i="11"/>
  <c r="N193" i="11"/>
  <c r="M193" i="11"/>
  <c r="L193" i="11"/>
  <c r="P192" i="11"/>
  <c r="O192" i="11"/>
  <c r="N192" i="11"/>
  <c r="M192" i="11"/>
  <c r="L192" i="11"/>
  <c r="P191" i="11"/>
  <c r="O191" i="11"/>
  <c r="N191" i="11"/>
  <c r="M191" i="11"/>
  <c r="L191" i="11"/>
  <c r="P190" i="11"/>
  <c r="O190" i="11"/>
  <c r="N190" i="11"/>
  <c r="M190" i="11"/>
  <c r="L190" i="11"/>
  <c r="P189" i="11"/>
  <c r="O189" i="11"/>
  <c r="N189" i="11"/>
  <c r="M189" i="11"/>
  <c r="L189" i="11"/>
  <c r="P188" i="11"/>
  <c r="O188" i="11"/>
  <c r="N188" i="11"/>
  <c r="M188" i="11"/>
  <c r="L188" i="11"/>
  <c r="P187" i="11"/>
  <c r="O187" i="11"/>
  <c r="N187" i="11"/>
  <c r="M187" i="11"/>
  <c r="L187" i="11"/>
  <c r="P186" i="11"/>
  <c r="O186" i="11"/>
  <c r="N186" i="11"/>
  <c r="M186" i="11"/>
  <c r="L186" i="11"/>
  <c r="P185" i="11"/>
  <c r="O185" i="11"/>
  <c r="N185" i="11"/>
  <c r="M185" i="11"/>
  <c r="L185" i="11"/>
  <c r="P184" i="11"/>
  <c r="O184" i="11"/>
  <c r="N184" i="11"/>
  <c r="M184" i="11"/>
  <c r="L184" i="11"/>
  <c r="P183" i="11"/>
  <c r="O183" i="11"/>
  <c r="N183" i="11"/>
  <c r="M183" i="11"/>
  <c r="L183" i="11"/>
  <c r="P182" i="11"/>
  <c r="O182" i="11"/>
  <c r="N182" i="11"/>
  <c r="M182" i="11"/>
  <c r="L182" i="11"/>
  <c r="P181" i="11"/>
  <c r="O181" i="11"/>
  <c r="N181" i="11"/>
  <c r="M181" i="11"/>
  <c r="L181" i="11"/>
  <c r="P180" i="11"/>
  <c r="O180" i="11"/>
  <c r="N180" i="11"/>
  <c r="M180" i="11"/>
  <c r="L180" i="11"/>
  <c r="P179" i="11"/>
  <c r="O179" i="11"/>
  <c r="N179" i="11"/>
  <c r="M179" i="11"/>
  <c r="L179" i="11"/>
  <c r="P178" i="11"/>
  <c r="O178" i="11"/>
  <c r="N178" i="11"/>
  <c r="M178" i="11"/>
  <c r="L178" i="11"/>
  <c r="P177" i="11"/>
  <c r="O177" i="11"/>
  <c r="N177" i="11"/>
  <c r="M177" i="11"/>
  <c r="L177" i="11"/>
  <c r="P176" i="11"/>
  <c r="O176" i="11"/>
  <c r="N176" i="11"/>
  <c r="M176" i="11"/>
  <c r="L176" i="11"/>
  <c r="P175" i="11"/>
  <c r="O175" i="11"/>
  <c r="N175" i="11"/>
  <c r="M175" i="11"/>
  <c r="L175" i="11"/>
  <c r="P174" i="11"/>
  <c r="O174" i="11"/>
  <c r="N174" i="11"/>
  <c r="M174" i="11"/>
  <c r="L174" i="11"/>
  <c r="P173" i="11"/>
  <c r="O173" i="11"/>
  <c r="N173" i="11"/>
  <c r="M173" i="11"/>
  <c r="L173" i="11"/>
  <c r="P172" i="11"/>
  <c r="O172" i="11"/>
  <c r="N172" i="11"/>
  <c r="M172" i="11"/>
  <c r="L172" i="11"/>
  <c r="P171" i="11"/>
  <c r="O171" i="11"/>
  <c r="N171" i="11"/>
  <c r="M171" i="11"/>
  <c r="L171" i="11"/>
  <c r="P170" i="11"/>
  <c r="O170" i="11"/>
  <c r="N170" i="11"/>
  <c r="M170" i="11"/>
  <c r="L170" i="11"/>
  <c r="P169" i="11"/>
  <c r="O169" i="11"/>
  <c r="N169" i="11"/>
  <c r="M169" i="11"/>
  <c r="L169" i="11"/>
  <c r="P168" i="11"/>
  <c r="O168" i="11"/>
  <c r="N168" i="11"/>
  <c r="M168" i="11"/>
  <c r="L168" i="11"/>
  <c r="P167" i="11"/>
  <c r="O167" i="11"/>
  <c r="N167" i="11"/>
  <c r="M167" i="11"/>
  <c r="L167" i="11"/>
  <c r="P166" i="11"/>
  <c r="O166" i="11"/>
  <c r="N166" i="11"/>
  <c r="M166" i="11"/>
  <c r="L166" i="11"/>
  <c r="P165" i="11"/>
  <c r="O165" i="11"/>
  <c r="N165" i="11"/>
  <c r="M165" i="11"/>
  <c r="L165" i="11"/>
  <c r="P164" i="11"/>
  <c r="O164" i="11"/>
  <c r="N164" i="11"/>
  <c r="M164" i="11"/>
  <c r="L164" i="11"/>
  <c r="P163" i="11"/>
  <c r="O163" i="11"/>
  <c r="N163" i="11"/>
  <c r="M163" i="11"/>
  <c r="L163" i="11"/>
  <c r="P162" i="11"/>
  <c r="O162" i="11"/>
  <c r="N162" i="11"/>
  <c r="M162" i="11"/>
  <c r="L162" i="11"/>
  <c r="P161" i="11"/>
  <c r="O161" i="11"/>
  <c r="N161" i="11"/>
  <c r="M161" i="11"/>
  <c r="L161" i="11"/>
  <c r="P160" i="11"/>
  <c r="O160" i="11"/>
  <c r="N160" i="11"/>
  <c r="M160" i="11"/>
  <c r="L160" i="11"/>
  <c r="P159" i="11"/>
  <c r="O159" i="11"/>
  <c r="N159" i="11"/>
  <c r="M159" i="11"/>
  <c r="L159" i="11"/>
  <c r="P158" i="11"/>
  <c r="O158" i="11"/>
  <c r="N158" i="11"/>
  <c r="M158" i="11"/>
  <c r="L158" i="11"/>
  <c r="P157" i="11"/>
  <c r="O157" i="11"/>
  <c r="N157" i="11"/>
  <c r="M157" i="11"/>
  <c r="L157" i="11"/>
  <c r="P156" i="11"/>
  <c r="O156" i="11"/>
  <c r="N156" i="11"/>
  <c r="M156" i="11"/>
  <c r="L156" i="11"/>
  <c r="P155" i="11"/>
  <c r="O155" i="11"/>
  <c r="N155" i="11"/>
  <c r="M155" i="11"/>
  <c r="L155" i="11"/>
  <c r="P154" i="11"/>
  <c r="O154" i="11"/>
  <c r="N154" i="11"/>
  <c r="M154" i="11"/>
  <c r="L154" i="11"/>
  <c r="P153" i="11"/>
  <c r="O153" i="11"/>
  <c r="N153" i="11"/>
  <c r="M153" i="11"/>
  <c r="L153" i="11"/>
  <c r="P152" i="11"/>
  <c r="O152" i="11"/>
  <c r="N152" i="11"/>
  <c r="M152" i="11"/>
  <c r="L152" i="11"/>
  <c r="P151" i="11"/>
  <c r="O151" i="11"/>
  <c r="N151" i="11"/>
  <c r="M151" i="11"/>
  <c r="L151" i="11"/>
  <c r="P150" i="11"/>
  <c r="O150" i="11"/>
  <c r="N150" i="11"/>
  <c r="M150" i="11"/>
  <c r="L150" i="11"/>
  <c r="P149" i="11"/>
  <c r="O149" i="11"/>
  <c r="N149" i="11"/>
  <c r="M149" i="11"/>
  <c r="L149" i="11"/>
  <c r="P148" i="11"/>
  <c r="O148" i="11"/>
  <c r="N148" i="11"/>
  <c r="M148" i="11"/>
  <c r="L148" i="11"/>
  <c r="P147" i="11"/>
  <c r="O147" i="11"/>
  <c r="N147" i="11"/>
  <c r="M147" i="11"/>
  <c r="L147" i="11"/>
  <c r="P146" i="11"/>
  <c r="O146" i="11"/>
  <c r="N146" i="11"/>
  <c r="M146" i="11"/>
  <c r="L146" i="11"/>
  <c r="P145" i="11"/>
  <c r="O145" i="11"/>
  <c r="N145" i="11"/>
  <c r="M145" i="11"/>
  <c r="L145" i="11"/>
  <c r="P144" i="11"/>
  <c r="O144" i="11"/>
  <c r="N144" i="11"/>
  <c r="M144" i="11"/>
  <c r="L144" i="11"/>
  <c r="P143" i="11"/>
  <c r="O143" i="11"/>
  <c r="N143" i="11"/>
  <c r="M143" i="11"/>
  <c r="L143" i="11"/>
  <c r="P142" i="11"/>
  <c r="O142" i="11"/>
  <c r="N142" i="11"/>
  <c r="M142" i="11"/>
  <c r="L142" i="11"/>
  <c r="P141" i="11"/>
  <c r="O141" i="11"/>
  <c r="N141" i="11"/>
  <c r="M141" i="11"/>
  <c r="L141" i="11"/>
  <c r="P140" i="11"/>
  <c r="O140" i="11"/>
  <c r="N140" i="11"/>
  <c r="M140" i="11"/>
  <c r="L140" i="11"/>
  <c r="P139" i="11"/>
  <c r="O139" i="11"/>
  <c r="N139" i="11"/>
  <c r="M139" i="11"/>
  <c r="L139" i="11"/>
  <c r="P138" i="11"/>
  <c r="O138" i="11"/>
  <c r="N138" i="11"/>
  <c r="M138" i="11"/>
  <c r="L138" i="11"/>
  <c r="P137" i="11"/>
  <c r="O137" i="11"/>
  <c r="N137" i="11"/>
  <c r="M137" i="11"/>
  <c r="L137" i="11"/>
  <c r="P136" i="11"/>
  <c r="O136" i="11"/>
  <c r="N136" i="11"/>
  <c r="M136" i="11"/>
  <c r="L136" i="11"/>
  <c r="P135" i="11"/>
  <c r="O135" i="11"/>
  <c r="N135" i="11"/>
  <c r="M135" i="11"/>
  <c r="L135" i="11"/>
  <c r="P134" i="11"/>
  <c r="O134" i="11"/>
  <c r="N134" i="11"/>
  <c r="M134" i="11"/>
  <c r="L134" i="11"/>
  <c r="P133" i="11"/>
  <c r="O133" i="11"/>
  <c r="N133" i="11"/>
  <c r="M133" i="11"/>
  <c r="L133" i="11"/>
  <c r="P132" i="11"/>
  <c r="O132" i="11"/>
  <c r="N132" i="11"/>
  <c r="M132" i="11"/>
  <c r="L132" i="11"/>
  <c r="P131" i="11"/>
  <c r="O131" i="11"/>
  <c r="N131" i="11"/>
  <c r="M131" i="11"/>
  <c r="L131" i="11"/>
  <c r="P130" i="11"/>
  <c r="O130" i="11"/>
  <c r="N130" i="11"/>
  <c r="M130" i="11"/>
  <c r="L130" i="11"/>
  <c r="P129" i="11"/>
  <c r="O129" i="11"/>
  <c r="N129" i="11"/>
  <c r="M129" i="11"/>
  <c r="L129" i="11"/>
  <c r="P128" i="11"/>
  <c r="O128" i="11"/>
  <c r="N128" i="11"/>
  <c r="M128" i="11"/>
  <c r="L128" i="11"/>
  <c r="P127" i="11"/>
  <c r="O127" i="11"/>
  <c r="N127" i="11"/>
  <c r="M127" i="11"/>
  <c r="L127" i="11"/>
  <c r="P126" i="11"/>
  <c r="O126" i="11"/>
  <c r="N126" i="11"/>
  <c r="M126" i="11"/>
  <c r="L126" i="11"/>
  <c r="P125" i="11"/>
  <c r="O125" i="11"/>
  <c r="N125" i="11"/>
  <c r="M125" i="11"/>
  <c r="L125" i="11"/>
  <c r="P124" i="11"/>
  <c r="O124" i="11"/>
  <c r="N124" i="11"/>
  <c r="M124" i="11"/>
  <c r="L124" i="11"/>
  <c r="P123" i="11"/>
  <c r="O123" i="11"/>
  <c r="N123" i="11"/>
  <c r="M123" i="11"/>
  <c r="L123" i="11"/>
  <c r="P122" i="11"/>
  <c r="O122" i="11"/>
  <c r="N122" i="11"/>
  <c r="M122" i="11"/>
  <c r="L122" i="11"/>
  <c r="P121" i="11"/>
  <c r="O121" i="11"/>
  <c r="N121" i="11"/>
  <c r="M121" i="11"/>
  <c r="L121" i="11"/>
  <c r="P120" i="11"/>
  <c r="O120" i="11"/>
  <c r="N120" i="11"/>
  <c r="M120" i="11"/>
  <c r="L120" i="11"/>
  <c r="P119" i="11"/>
  <c r="O119" i="11"/>
  <c r="N119" i="11"/>
  <c r="M119" i="11"/>
  <c r="L119" i="11"/>
  <c r="P118" i="11"/>
  <c r="O118" i="11"/>
  <c r="N118" i="11"/>
  <c r="M118" i="11"/>
  <c r="L118" i="11"/>
  <c r="P117" i="11"/>
  <c r="O117" i="11"/>
  <c r="N117" i="11"/>
  <c r="M117" i="11"/>
  <c r="L117" i="11"/>
  <c r="P116" i="11"/>
  <c r="O116" i="11"/>
  <c r="N116" i="11"/>
  <c r="M116" i="11"/>
  <c r="L116" i="11"/>
  <c r="P115" i="11"/>
  <c r="O115" i="11"/>
  <c r="N115" i="11"/>
  <c r="M115" i="11"/>
  <c r="L115" i="11"/>
  <c r="P114" i="11"/>
  <c r="O114" i="11"/>
  <c r="N114" i="11"/>
  <c r="M114" i="11"/>
  <c r="L114" i="11"/>
  <c r="P113" i="11"/>
  <c r="O113" i="11"/>
  <c r="N113" i="11"/>
  <c r="M113" i="11"/>
  <c r="L113" i="11"/>
  <c r="P112" i="11"/>
  <c r="O112" i="11"/>
  <c r="N112" i="11"/>
  <c r="M112" i="11"/>
  <c r="L112" i="11"/>
  <c r="P111" i="11"/>
  <c r="O111" i="11"/>
  <c r="N111" i="11"/>
  <c r="M111" i="11"/>
  <c r="L111" i="11"/>
  <c r="P110" i="11"/>
  <c r="O110" i="11"/>
  <c r="N110" i="11"/>
  <c r="M110" i="11"/>
  <c r="L110" i="11"/>
  <c r="P109" i="11"/>
  <c r="O109" i="11"/>
  <c r="N109" i="11"/>
  <c r="M109" i="11"/>
  <c r="L109" i="11"/>
  <c r="P108" i="11"/>
  <c r="O108" i="11"/>
  <c r="N108" i="11"/>
  <c r="M108" i="11"/>
  <c r="L108" i="11"/>
  <c r="P107" i="11"/>
  <c r="O107" i="11"/>
  <c r="N107" i="11"/>
  <c r="M107" i="11"/>
  <c r="L107" i="11"/>
  <c r="P106" i="11"/>
  <c r="O106" i="11"/>
  <c r="N106" i="11"/>
  <c r="M106" i="11"/>
  <c r="L106" i="11"/>
  <c r="P105" i="11"/>
  <c r="O105" i="11"/>
  <c r="N105" i="11"/>
  <c r="M105" i="11"/>
  <c r="L105" i="11"/>
  <c r="P104" i="11"/>
  <c r="O104" i="11"/>
  <c r="N104" i="11"/>
  <c r="M104" i="11"/>
  <c r="L104" i="11"/>
  <c r="P103" i="11"/>
  <c r="O103" i="11"/>
  <c r="N103" i="11"/>
  <c r="M103" i="11"/>
  <c r="L103" i="11"/>
  <c r="P102" i="11"/>
  <c r="O102" i="11"/>
  <c r="N102" i="11"/>
  <c r="M102" i="11"/>
  <c r="L102" i="11"/>
  <c r="P101" i="11"/>
  <c r="O101" i="11"/>
  <c r="N101" i="11"/>
  <c r="M101" i="11"/>
  <c r="L101" i="11"/>
  <c r="P100" i="11"/>
  <c r="O100" i="11"/>
  <c r="N100" i="11"/>
  <c r="M100" i="11"/>
  <c r="L100" i="11"/>
  <c r="P99" i="11"/>
  <c r="O99" i="11"/>
  <c r="N99" i="11"/>
  <c r="M99" i="11"/>
  <c r="L99" i="11"/>
  <c r="P98" i="11"/>
  <c r="O98" i="11"/>
  <c r="N98" i="11"/>
  <c r="M98" i="11"/>
  <c r="L98" i="11"/>
  <c r="P97" i="11"/>
  <c r="O97" i="11"/>
  <c r="N97" i="11"/>
  <c r="M97" i="11"/>
  <c r="L97" i="11"/>
  <c r="P96" i="11"/>
  <c r="O96" i="11"/>
  <c r="N96" i="11"/>
  <c r="M96" i="11"/>
  <c r="L96" i="11"/>
  <c r="P95" i="11"/>
  <c r="O95" i="11"/>
  <c r="N95" i="11"/>
  <c r="M95" i="11"/>
  <c r="L95" i="11"/>
  <c r="P94" i="11"/>
  <c r="O94" i="11"/>
  <c r="N94" i="11"/>
  <c r="M94" i="11"/>
  <c r="L94" i="11"/>
  <c r="P93" i="11"/>
  <c r="O93" i="11"/>
  <c r="N93" i="11"/>
  <c r="M93" i="11"/>
  <c r="L93" i="11"/>
  <c r="P92" i="11"/>
  <c r="O92" i="11"/>
  <c r="N92" i="11"/>
  <c r="M92" i="11"/>
  <c r="L92" i="11"/>
  <c r="P91" i="11"/>
  <c r="O91" i="11"/>
  <c r="N91" i="11"/>
  <c r="M91" i="11"/>
  <c r="L91" i="11"/>
  <c r="P90" i="11"/>
  <c r="O90" i="11"/>
  <c r="N90" i="11"/>
  <c r="M90" i="11"/>
  <c r="L90" i="11"/>
  <c r="P89" i="11"/>
  <c r="O89" i="11"/>
  <c r="N89" i="11"/>
  <c r="M89" i="11"/>
  <c r="L89" i="11"/>
  <c r="P88" i="11"/>
  <c r="O88" i="11"/>
  <c r="N88" i="11"/>
  <c r="M88" i="11"/>
  <c r="L88" i="11"/>
  <c r="P87" i="11"/>
  <c r="O87" i="11"/>
  <c r="N87" i="11"/>
  <c r="M87" i="11"/>
  <c r="L87" i="11"/>
  <c r="P86" i="11"/>
  <c r="O86" i="11"/>
  <c r="N86" i="11"/>
  <c r="M86" i="11"/>
  <c r="L86" i="11"/>
  <c r="P85" i="11"/>
  <c r="O85" i="11"/>
  <c r="N85" i="11"/>
  <c r="M85" i="11"/>
  <c r="L85" i="11"/>
  <c r="P84" i="11"/>
  <c r="O84" i="11"/>
  <c r="N84" i="11"/>
  <c r="M84" i="11"/>
  <c r="L84" i="11"/>
  <c r="P83" i="11"/>
  <c r="O83" i="11"/>
  <c r="N83" i="11"/>
  <c r="M83" i="11"/>
  <c r="L83" i="11"/>
  <c r="P82" i="11"/>
  <c r="O82" i="11"/>
  <c r="N82" i="11"/>
  <c r="M82" i="11"/>
  <c r="L82" i="11"/>
  <c r="P81" i="11"/>
  <c r="O81" i="11"/>
  <c r="N81" i="11"/>
  <c r="M81" i="11"/>
  <c r="L81" i="11"/>
  <c r="P80" i="11"/>
  <c r="O80" i="11"/>
  <c r="N80" i="11"/>
  <c r="M80" i="11"/>
  <c r="L80" i="11"/>
  <c r="P79" i="11"/>
  <c r="O79" i="11"/>
  <c r="N79" i="11"/>
  <c r="M79" i="11"/>
  <c r="L79" i="11"/>
  <c r="P78" i="11"/>
  <c r="O78" i="11"/>
  <c r="N78" i="11"/>
  <c r="M78" i="11"/>
  <c r="L78" i="11"/>
  <c r="P77" i="11"/>
  <c r="O77" i="11"/>
  <c r="N77" i="11"/>
  <c r="M77" i="11"/>
  <c r="L77" i="11"/>
  <c r="P76" i="11"/>
  <c r="O76" i="11"/>
  <c r="N76" i="11"/>
  <c r="M76" i="11"/>
  <c r="L76" i="11"/>
  <c r="P75" i="11"/>
  <c r="O75" i="11"/>
  <c r="N75" i="11"/>
  <c r="M75" i="11"/>
  <c r="L75" i="11"/>
  <c r="P74" i="11"/>
  <c r="O74" i="11"/>
  <c r="N74" i="11"/>
  <c r="M74" i="11"/>
  <c r="L74" i="11"/>
  <c r="P73" i="11"/>
  <c r="O73" i="11"/>
  <c r="N73" i="11"/>
  <c r="M73" i="11"/>
  <c r="L73" i="11"/>
  <c r="P72" i="11"/>
  <c r="O72" i="11"/>
  <c r="N72" i="11"/>
  <c r="M72" i="11"/>
  <c r="L72" i="11"/>
  <c r="P71" i="11"/>
  <c r="O71" i="11"/>
  <c r="N71" i="11"/>
  <c r="M71" i="11"/>
  <c r="L71" i="11"/>
  <c r="P70" i="11"/>
  <c r="O70" i="11"/>
  <c r="N70" i="11"/>
  <c r="M70" i="11"/>
  <c r="L70" i="11"/>
  <c r="P69" i="11"/>
  <c r="O69" i="11"/>
  <c r="N69" i="11"/>
  <c r="M69" i="11"/>
  <c r="L69" i="11"/>
  <c r="P68" i="11"/>
  <c r="O68" i="11"/>
  <c r="N68" i="11"/>
  <c r="M68" i="11"/>
  <c r="L68" i="11"/>
  <c r="P67" i="11"/>
  <c r="O67" i="11"/>
  <c r="N67" i="11"/>
  <c r="M67" i="11"/>
  <c r="L67" i="11"/>
  <c r="P66" i="11"/>
  <c r="O66" i="11"/>
  <c r="N66" i="11"/>
  <c r="M66" i="11"/>
  <c r="L66" i="11"/>
  <c r="P65" i="11"/>
  <c r="O65" i="11"/>
  <c r="N65" i="11"/>
  <c r="M65" i="11"/>
  <c r="L65" i="11"/>
  <c r="P64" i="11"/>
  <c r="O64" i="11"/>
  <c r="N64" i="11"/>
  <c r="M64" i="11"/>
  <c r="L64" i="11"/>
  <c r="P63" i="11"/>
  <c r="O63" i="11"/>
  <c r="N63" i="11"/>
  <c r="M63" i="11"/>
  <c r="L63" i="11"/>
  <c r="P62" i="11"/>
  <c r="O62" i="11"/>
  <c r="N62" i="11"/>
  <c r="M62" i="11"/>
  <c r="L62" i="11"/>
  <c r="P61" i="11"/>
  <c r="O61" i="11"/>
  <c r="N61" i="11"/>
  <c r="M61" i="11"/>
  <c r="L61" i="11"/>
  <c r="P60" i="11"/>
  <c r="O60" i="11"/>
  <c r="N60" i="11"/>
  <c r="M60" i="11"/>
  <c r="L60" i="11"/>
  <c r="P59" i="11"/>
  <c r="O59" i="11"/>
  <c r="N59" i="11"/>
  <c r="M59" i="11"/>
  <c r="L59" i="11"/>
  <c r="P58" i="11"/>
  <c r="O58" i="11"/>
  <c r="N58" i="11"/>
  <c r="M58" i="11"/>
  <c r="L58" i="11"/>
  <c r="P57" i="11"/>
  <c r="O57" i="11"/>
  <c r="N57" i="11"/>
  <c r="M57" i="11"/>
  <c r="L57" i="11"/>
  <c r="P56" i="11"/>
  <c r="O56" i="11"/>
  <c r="N56" i="11"/>
  <c r="M56" i="11"/>
  <c r="L56" i="11"/>
  <c r="P55" i="11"/>
  <c r="O55" i="11"/>
  <c r="N55" i="11"/>
  <c r="M55" i="11"/>
  <c r="L55" i="11"/>
  <c r="P54" i="11"/>
  <c r="O54" i="11"/>
  <c r="N54" i="11"/>
  <c r="M54" i="11"/>
  <c r="L54" i="11"/>
  <c r="P53" i="11"/>
  <c r="O53" i="11"/>
  <c r="N53" i="11"/>
  <c r="M53" i="11"/>
  <c r="L53" i="11"/>
  <c r="P52" i="11"/>
  <c r="O52" i="11"/>
  <c r="N52" i="11"/>
  <c r="M52" i="11"/>
  <c r="L52" i="11"/>
  <c r="P51" i="11"/>
  <c r="O51" i="11"/>
  <c r="N51" i="11"/>
  <c r="M51" i="11"/>
  <c r="L51" i="11"/>
  <c r="P50" i="11"/>
  <c r="O50" i="11"/>
  <c r="N50" i="11"/>
  <c r="M50" i="11"/>
  <c r="L50" i="11"/>
  <c r="P49" i="11"/>
  <c r="O49" i="11"/>
  <c r="N49" i="11"/>
  <c r="M49" i="11"/>
  <c r="L49" i="11"/>
  <c r="P48" i="11"/>
  <c r="O48" i="11"/>
  <c r="N48" i="11"/>
  <c r="M48" i="11"/>
  <c r="L48" i="11"/>
  <c r="P47" i="11"/>
  <c r="O47" i="11"/>
  <c r="N47" i="11"/>
  <c r="M47" i="11"/>
  <c r="L47" i="11"/>
  <c r="P46" i="11"/>
  <c r="O46" i="11"/>
  <c r="N46" i="11"/>
  <c r="M46" i="11"/>
  <c r="L46" i="11"/>
  <c r="P45" i="11"/>
  <c r="O45" i="11"/>
  <c r="N45" i="11"/>
  <c r="M45" i="11"/>
  <c r="L45" i="11"/>
  <c r="P44" i="11"/>
  <c r="O44" i="11"/>
  <c r="N44" i="11"/>
  <c r="M44" i="11"/>
  <c r="L44" i="11"/>
  <c r="P43" i="11"/>
  <c r="O43" i="11"/>
  <c r="N43" i="11"/>
  <c r="M43" i="11"/>
  <c r="L43" i="11"/>
  <c r="P42" i="11"/>
  <c r="O42" i="11"/>
  <c r="N42" i="11"/>
  <c r="M42" i="11"/>
  <c r="L42" i="11"/>
  <c r="P41" i="11"/>
  <c r="O41" i="11"/>
  <c r="N41" i="11"/>
  <c r="M41" i="11"/>
  <c r="L41" i="11"/>
  <c r="P40" i="11"/>
  <c r="O40" i="11"/>
  <c r="N40" i="11"/>
  <c r="M40" i="11"/>
  <c r="L40" i="11"/>
  <c r="P39" i="11"/>
  <c r="O39" i="11"/>
  <c r="N39" i="11"/>
  <c r="M39" i="11"/>
  <c r="L39" i="11"/>
  <c r="P38" i="11"/>
  <c r="O38" i="11"/>
  <c r="N38" i="11"/>
  <c r="M38" i="11"/>
  <c r="L38" i="11"/>
  <c r="P37" i="11"/>
  <c r="O37" i="11"/>
  <c r="N37" i="11"/>
  <c r="M37" i="11"/>
  <c r="L37" i="11"/>
  <c r="P36" i="11"/>
  <c r="O36" i="11"/>
  <c r="N36" i="11"/>
  <c r="M36" i="11"/>
  <c r="L36" i="11"/>
  <c r="P35" i="11"/>
  <c r="O35" i="11"/>
  <c r="N35" i="11"/>
  <c r="M35" i="11"/>
  <c r="L35" i="11"/>
  <c r="P34" i="11"/>
  <c r="O34" i="11"/>
  <c r="N34" i="11"/>
  <c r="M34" i="11"/>
  <c r="L34" i="11"/>
  <c r="P33" i="11"/>
  <c r="O33" i="11"/>
  <c r="N33" i="11"/>
  <c r="M33" i="11"/>
  <c r="L33" i="11"/>
  <c r="P32" i="11"/>
  <c r="O32" i="11"/>
  <c r="N32" i="11"/>
  <c r="M32" i="11"/>
  <c r="L32" i="11"/>
  <c r="P31" i="11"/>
  <c r="O31" i="11"/>
  <c r="N31" i="11"/>
  <c r="M31" i="11"/>
  <c r="L31" i="11"/>
  <c r="P30" i="11"/>
  <c r="O30" i="11"/>
  <c r="N30" i="11"/>
  <c r="M30" i="11"/>
  <c r="L30" i="11"/>
  <c r="P29" i="11"/>
  <c r="O29" i="11"/>
  <c r="N29" i="11"/>
  <c r="M29" i="11"/>
  <c r="L29" i="11"/>
  <c r="P28" i="11"/>
  <c r="O28" i="11"/>
  <c r="N28" i="11"/>
  <c r="M28" i="11"/>
  <c r="L28" i="11"/>
  <c r="P27" i="11"/>
  <c r="O27" i="11"/>
  <c r="N27" i="11"/>
  <c r="M27" i="11"/>
  <c r="L27" i="11"/>
  <c r="P26" i="11"/>
  <c r="O26" i="11"/>
  <c r="N26" i="11"/>
  <c r="M26" i="11"/>
  <c r="L26" i="11"/>
  <c r="P25" i="11"/>
  <c r="O25" i="11"/>
  <c r="N25" i="11"/>
  <c r="M25" i="11"/>
  <c r="L25" i="11"/>
  <c r="P24" i="11"/>
  <c r="O24" i="11"/>
  <c r="N24" i="11"/>
  <c r="M24" i="11"/>
  <c r="L24" i="11"/>
  <c r="P23" i="11"/>
  <c r="O23" i="11"/>
  <c r="N23" i="11"/>
  <c r="M23" i="11"/>
  <c r="L23" i="11"/>
  <c r="P22" i="11"/>
  <c r="O22" i="11"/>
  <c r="N22" i="11"/>
  <c r="M22" i="11"/>
  <c r="L22" i="11"/>
  <c r="P21" i="11"/>
  <c r="O21" i="11"/>
  <c r="N21" i="11"/>
  <c r="M21" i="11"/>
  <c r="L21" i="11"/>
  <c r="P20" i="11"/>
  <c r="O20" i="11"/>
  <c r="N20" i="11"/>
  <c r="M20" i="11"/>
  <c r="L20" i="11"/>
  <c r="P19" i="11"/>
  <c r="O19" i="11"/>
  <c r="N19" i="11"/>
  <c r="M19" i="11"/>
  <c r="L19" i="11"/>
  <c r="P18" i="11"/>
  <c r="O18" i="11"/>
  <c r="N18" i="11"/>
  <c r="M18" i="11"/>
  <c r="L18" i="11"/>
  <c r="P17" i="11"/>
  <c r="O17" i="11"/>
  <c r="N17" i="11"/>
  <c r="M17" i="11"/>
  <c r="L17" i="11"/>
  <c r="P16" i="11"/>
  <c r="O16" i="11"/>
  <c r="N16" i="11"/>
  <c r="M16" i="11"/>
  <c r="L16" i="11"/>
  <c r="P15" i="11"/>
  <c r="O15" i="11"/>
  <c r="N15" i="11"/>
  <c r="M15" i="11"/>
  <c r="L15" i="11"/>
  <c r="P14" i="11"/>
  <c r="O14" i="11"/>
  <c r="N14" i="11"/>
  <c r="M14" i="11"/>
  <c r="L14" i="11"/>
  <c r="P13" i="11"/>
  <c r="O13" i="11"/>
  <c r="N13" i="11"/>
  <c r="M13" i="11"/>
  <c r="L13" i="11"/>
  <c r="P12" i="11"/>
  <c r="O12" i="11"/>
  <c r="N12" i="11"/>
  <c r="M12" i="11"/>
  <c r="L12" i="11"/>
  <c r="P11" i="11"/>
  <c r="O11" i="11"/>
  <c r="N11" i="11"/>
  <c r="M11" i="11"/>
  <c r="L11" i="11"/>
  <c r="P10" i="11"/>
  <c r="O10" i="11"/>
  <c r="N10" i="11"/>
  <c r="M10" i="11"/>
  <c r="L10" i="11"/>
  <c r="P9" i="11"/>
  <c r="O9" i="11"/>
  <c r="N9" i="11"/>
  <c r="M9" i="11"/>
  <c r="L9" i="11"/>
  <c r="P8" i="11"/>
  <c r="O8" i="11"/>
  <c r="N8" i="11"/>
  <c r="M8" i="11"/>
  <c r="L8" i="11"/>
  <c r="P7" i="11"/>
  <c r="N7" i="11"/>
  <c r="O7" i="11" s="1"/>
  <c r="M7" i="11"/>
  <c r="L7" i="11"/>
  <c r="P6" i="11"/>
  <c r="N6" i="11"/>
  <c r="O6" i="11" s="1"/>
  <c r="M6" i="11"/>
  <c r="L6" i="11"/>
  <c r="P5" i="11"/>
  <c r="N5" i="11"/>
  <c r="O5" i="11" s="1"/>
  <c r="M5" i="11"/>
  <c r="L5" i="11"/>
  <c r="J200" i="11"/>
  <c r="I200" i="11"/>
  <c r="H200" i="11"/>
  <c r="J199" i="11"/>
  <c r="I199" i="11"/>
  <c r="H199" i="11"/>
  <c r="J198" i="11"/>
  <c r="I198" i="11"/>
  <c r="H198" i="11"/>
  <c r="J197" i="11"/>
  <c r="I197" i="11"/>
  <c r="H197" i="11"/>
  <c r="J196" i="11"/>
  <c r="I196" i="11"/>
  <c r="H196" i="11"/>
  <c r="J195" i="11"/>
  <c r="I195" i="11"/>
  <c r="H195" i="11"/>
  <c r="J194" i="11"/>
  <c r="I194" i="11"/>
  <c r="H194" i="11"/>
  <c r="J193" i="11"/>
  <c r="I193" i="11"/>
  <c r="H193" i="11"/>
  <c r="J192" i="11"/>
  <c r="I192" i="11"/>
  <c r="H192" i="11"/>
  <c r="J191" i="11"/>
  <c r="I191" i="11"/>
  <c r="H191" i="11"/>
  <c r="J190" i="11"/>
  <c r="I190" i="11"/>
  <c r="H190" i="11"/>
  <c r="J189" i="11"/>
  <c r="I189" i="11"/>
  <c r="H189" i="11"/>
  <c r="J188" i="11"/>
  <c r="I188" i="11"/>
  <c r="H188" i="11"/>
  <c r="J187" i="11"/>
  <c r="I187" i="11"/>
  <c r="H187" i="11"/>
  <c r="J186" i="11"/>
  <c r="I186" i="11"/>
  <c r="H186" i="11"/>
  <c r="J185" i="11"/>
  <c r="I185" i="11"/>
  <c r="H185" i="11"/>
  <c r="J184" i="11"/>
  <c r="I184" i="11"/>
  <c r="H184" i="11"/>
  <c r="J183" i="11"/>
  <c r="I183" i="11"/>
  <c r="H183" i="11"/>
  <c r="J182" i="11"/>
  <c r="I182" i="11"/>
  <c r="H182" i="11"/>
  <c r="J181" i="11"/>
  <c r="I181" i="11"/>
  <c r="H181" i="11"/>
  <c r="J180" i="11"/>
  <c r="I180" i="11"/>
  <c r="H180" i="11"/>
  <c r="J179" i="11"/>
  <c r="I179" i="11"/>
  <c r="H179" i="11"/>
  <c r="J178" i="11"/>
  <c r="I178" i="11"/>
  <c r="H178" i="11"/>
  <c r="J177" i="11"/>
  <c r="I177" i="11"/>
  <c r="H177" i="11"/>
  <c r="J176" i="11"/>
  <c r="I176" i="11"/>
  <c r="H176" i="11"/>
  <c r="J175" i="11"/>
  <c r="I175" i="11"/>
  <c r="H175" i="11"/>
  <c r="J174" i="11"/>
  <c r="I174" i="11"/>
  <c r="H174" i="11"/>
  <c r="J173" i="11"/>
  <c r="I173" i="11"/>
  <c r="H173" i="11"/>
  <c r="J172" i="11"/>
  <c r="I172" i="11"/>
  <c r="H172" i="11"/>
  <c r="J171" i="11"/>
  <c r="I171" i="11"/>
  <c r="H171" i="11"/>
  <c r="J170" i="11"/>
  <c r="I170" i="11"/>
  <c r="H170" i="11"/>
  <c r="J169" i="11"/>
  <c r="I169" i="11"/>
  <c r="H169" i="11"/>
  <c r="J168" i="11"/>
  <c r="I168" i="11"/>
  <c r="H168" i="11"/>
  <c r="J167" i="11"/>
  <c r="I167" i="11"/>
  <c r="H167" i="11"/>
  <c r="J166" i="11"/>
  <c r="I166" i="11"/>
  <c r="H166" i="11"/>
  <c r="J165" i="11"/>
  <c r="I165" i="11"/>
  <c r="H165" i="11"/>
  <c r="J164" i="11"/>
  <c r="I164" i="11"/>
  <c r="H164" i="11"/>
  <c r="J163" i="11"/>
  <c r="I163" i="11"/>
  <c r="H163" i="11"/>
  <c r="J162" i="11"/>
  <c r="I162" i="11"/>
  <c r="H162" i="11"/>
  <c r="J161" i="11"/>
  <c r="I161" i="11"/>
  <c r="H161" i="11"/>
  <c r="J160" i="11"/>
  <c r="I160" i="11"/>
  <c r="H160" i="11"/>
  <c r="J159" i="11"/>
  <c r="I159" i="11"/>
  <c r="H159" i="11"/>
  <c r="J158" i="11"/>
  <c r="I158" i="11"/>
  <c r="H158" i="11"/>
  <c r="J157" i="11"/>
  <c r="I157" i="11"/>
  <c r="H157" i="11"/>
  <c r="J156" i="11"/>
  <c r="I156" i="11"/>
  <c r="H156" i="11"/>
  <c r="J155" i="11"/>
  <c r="I155" i="11"/>
  <c r="H155" i="11"/>
  <c r="J154" i="11"/>
  <c r="I154" i="11"/>
  <c r="H154" i="11"/>
  <c r="J153" i="11"/>
  <c r="I153" i="11"/>
  <c r="H153" i="11"/>
  <c r="J152" i="11"/>
  <c r="I152" i="11"/>
  <c r="H152" i="11"/>
  <c r="J151" i="11"/>
  <c r="I151" i="11"/>
  <c r="H151" i="11"/>
  <c r="J150" i="11"/>
  <c r="I150" i="11"/>
  <c r="H150" i="11"/>
  <c r="J149" i="11"/>
  <c r="I149" i="11"/>
  <c r="H149" i="11"/>
  <c r="J148" i="11"/>
  <c r="I148" i="11"/>
  <c r="H148" i="11"/>
  <c r="J147" i="11"/>
  <c r="I147" i="11"/>
  <c r="H147" i="11"/>
  <c r="J146" i="11"/>
  <c r="I146" i="11"/>
  <c r="H146" i="11"/>
  <c r="J145" i="11"/>
  <c r="I145" i="11"/>
  <c r="H145" i="11"/>
  <c r="J144" i="11"/>
  <c r="I144" i="11"/>
  <c r="H144" i="11"/>
  <c r="J143" i="11"/>
  <c r="I143" i="11"/>
  <c r="H143" i="11"/>
  <c r="J142" i="11"/>
  <c r="I142" i="11"/>
  <c r="H142" i="11"/>
  <c r="J141" i="11"/>
  <c r="I141" i="11"/>
  <c r="H141" i="11"/>
  <c r="J140" i="11"/>
  <c r="I140" i="11"/>
  <c r="H140" i="11"/>
  <c r="J139" i="11"/>
  <c r="I139" i="11"/>
  <c r="H139" i="11"/>
  <c r="J138" i="11"/>
  <c r="I138" i="11"/>
  <c r="H138" i="11"/>
  <c r="J137" i="11"/>
  <c r="I137" i="11"/>
  <c r="H137" i="11"/>
  <c r="J136" i="11"/>
  <c r="I136" i="11"/>
  <c r="H136" i="11"/>
  <c r="J135" i="11"/>
  <c r="I135" i="11"/>
  <c r="H135" i="11"/>
  <c r="J134" i="11"/>
  <c r="I134" i="11"/>
  <c r="H134" i="11"/>
  <c r="J133" i="11"/>
  <c r="I133" i="11"/>
  <c r="H133" i="11"/>
  <c r="J132" i="11"/>
  <c r="I132" i="11"/>
  <c r="H132" i="11"/>
  <c r="J131" i="11"/>
  <c r="I131" i="11"/>
  <c r="H131" i="11"/>
  <c r="J130" i="11"/>
  <c r="I130" i="11"/>
  <c r="H130" i="11"/>
  <c r="J129" i="11"/>
  <c r="I129" i="11"/>
  <c r="H129" i="11"/>
  <c r="J128" i="11"/>
  <c r="I128" i="11"/>
  <c r="H128" i="11"/>
  <c r="J127" i="11"/>
  <c r="I127" i="11"/>
  <c r="H127" i="11"/>
  <c r="J126" i="11"/>
  <c r="I126" i="11"/>
  <c r="H126" i="11"/>
  <c r="J125" i="11"/>
  <c r="I125" i="11"/>
  <c r="H125" i="11"/>
  <c r="J124" i="11"/>
  <c r="I124" i="11"/>
  <c r="H124" i="11"/>
  <c r="J123" i="11"/>
  <c r="I123" i="11"/>
  <c r="H123" i="11"/>
  <c r="J122" i="11"/>
  <c r="I122" i="11"/>
  <c r="H122" i="11"/>
  <c r="J121" i="11"/>
  <c r="I121" i="11"/>
  <c r="H121" i="11"/>
  <c r="J120" i="11"/>
  <c r="I120" i="11"/>
  <c r="H120" i="11"/>
  <c r="J119" i="11"/>
  <c r="I119" i="11"/>
  <c r="H119" i="11"/>
  <c r="J118" i="11"/>
  <c r="I118" i="11"/>
  <c r="H118" i="11"/>
  <c r="J117" i="11"/>
  <c r="I117" i="11"/>
  <c r="H117" i="11"/>
  <c r="J116" i="11"/>
  <c r="I116" i="11"/>
  <c r="H116" i="11"/>
  <c r="J115" i="11"/>
  <c r="I115" i="11"/>
  <c r="H115" i="11"/>
  <c r="J114" i="11"/>
  <c r="I114" i="11"/>
  <c r="H114" i="11"/>
  <c r="J113" i="11"/>
  <c r="I113" i="11"/>
  <c r="H113" i="11"/>
  <c r="J112" i="11"/>
  <c r="I112" i="11"/>
  <c r="H112" i="11"/>
  <c r="J111" i="11"/>
  <c r="I111" i="11"/>
  <c r="H111" i="11"/>
  <c r="J110" i="11"/>
  <c r="I110" i="11"/>
  <c r="H110" i="11"/>
  <c r="J109" i="11"/>
  <c r="I109" i="11"/>
  <c r="H109" i="11"/>
  <c r="J108" i="11"/>
  <c r="I108" i="11"/>
  <c r="H108" i="11"/>
  <c r="J107" i="11"/>
  <c r="I107" i="11"/>
  <c r="H107" i="11"/>
  <c r="J106" i="11"/>
  <c r="I106" i="11"/>
  <c r="H106" i="11"/>
  <c r="J105" i="11"/>
  <c r="I105" i="11"/>
  <c r="H105" i="11"/>
  <c r="J104" i="11"/>
  <c r="I104" i="11"/>
  <c r="H104" i="11"/>
  <c r="J103" i="11"/>
  <c r="I103" i="11"/>
  <c r="H103" i="11"/>
  <c r="J102" i="11"/>
  <c r="I102" i="11"/>
  <c r="H102" i="11"/>
  <c r="J101" i="11"/>
  <c r="I101" i="11"/>
  <c r="H101" i="11"/>
  <c r="J100" i="11"/>
  <c r="I100" i="11"/>
  <c r="H100" i="11"/>
  <c r="J99" i="11"/>
  <c r="I99" i="11"/>
  <c r="H99" i="11"/>
  <c r="J98" i="11"/>
  <c r="I98" i="11"/>
  <c r="H98" i="11"/>
  <c r="J97" i="11"/>
  <c r="I97" i="11"/>
  <c r="H97" i="11"/>
  <c r="J96" i="11"/>
  <c r="I96" i="11"/>
  <c r="H96" i="11"/>
  <c r="J95" i="11"/>
  <c r="I95" i="11"/>
  <c r="H95" i="11"/>
  <c r="J94" i="11"/>
  <c r="I94" i="11"/>
  <c r="H94" i="11"/>
  <c r="J93" i="11"/>
  <c r="I93" i="11"/>
  <c r="H93" i="11"/>
  <c r="J92" i="11"/>
  <c r="I92" i="11"/>
  <c r="H92" i="11"/>
  <c r="J91" i="11"/>
  <c r="I91" i="11"/>
  <c r="H91" i="11"/>
  <c r="J90" i="11"/>
  <c r="I90" i="11"/>
  <c r="H90" i="11"/>
  <c r="J89" i="11"/>
  <c r="I89" i="11"/>
  <c r="H89" i="11"/>
  <c r="J88" i="11"/>
  <c r="I88" i="11"/>
  <c r="H88" i="11"/>
  <c r="J87" i="11"/>
  <c r="I87" i="11"/>
  <c r="H87" i="11"/>
  <c r="J86" i="11"/>
  <c r="I86" i="11"/>
  <c r="H86" i="11"/>
  <c r="J85" i="11"/>
  <c r="I85" i="11"/>
  <c r="H85" i="11"/>
  <c r="J84" i="11"/>
  <c r="I84" i="11"/>
  <c r="H84" i="11"/>
  <c r="J83" i="11"/>
  <c r="I83" i="11"/>
  <c r="H83" i="11"/>
  <c r="J82" i="11"/>
  <c r="I82" i="11"/>
  <c r="H82" i="11"/>
  <c r="J81" i="11"/>
  <c r="I81" i="11"/>
  <c r="H81" i="11"/>
  <c r="J80" i="11"/>
  <c r="I80" i="11"/>
  <c r="H80" i="11"/>
  <c r="J79" i="11"/>
  <c r="I79" i="11"/>
  <c r="H79" i="11"/>
  <c r="J78" i="11"/>
  <c r="I78" i="11"/>
  <c r="H78" i="11"/>
  <c r="J77" i="11"/>
  <c r="I77" i="11"/>
  <c r="H77" i="11"/>
  <c r="J76" i="11"/>
  <c r="I76" i="11"/>
  <c r="H76" i="11"/>
  <c r="J75" i="11"/>
  <c r="I75" i="11"/>
  <c r="H75" i="11"/>
  <c r="J74" i="11"/>
  <c r="I74" i="11"/>
  <c r="H74" i="11"/>
  <c r="J73" i="11"/>
  <c r="I73" i="11"/>
  <c r="H73" i="11"/>
  <c r="J72" i="11"/>
  <c r="I72" i="11"/>
  <c r="H72" i="11"/>
  <c r="J71" i="11"/>
  <c r="I71" i="11"/>
  <c r="H71" i="11"/>
  <c r="J70" i="11"/>
  <c r="I70" i="11"/>
  <c r="H70" i="11"/>
  <c r="J69" i="11"/>
  <c r="I69" i="11"/>
  <c r="H69" i="11"/>
  <c r="J68" i="11"/>
  <c r="I68" i="11"/>
  <c r="H68" i="11"/>
  <c r="J67" i="11"/>
  <c r="I67" i="11"/>
  <c r="H67" i="11"/>
  <c r="J66" i="11"/>
  <c r="I66" i="11"/>
  <c r="H66" i="11"/>
  <c r="J65" i="11"/>
  <c r="I65" i="11"/>
  <c r="H65" i="11"/>
  <c r="J64" i="11"/>
  <c r="I64" i="11"/>
  <c r="H64" i="11"/>
  <c r="J63" i="11"/>
  <c r="I63" i="11"/>
  <c r="H63" i="11"/>
  <c r="J62" i="11"/>
  <c r="I62" i="11"/>
  <c r="H62" i="11"/>
  <c r="J61" i="11"/>
  <c r="I61" i="11"/>
  <c r="H61" i="11"/>
  <c r="J60" i="11"/>
  <c r="I60" i="11"/>
  <c r="H60" i="11"/>
  <c r="J59" i="11"/>
  <c r="I59" i="11"/>
  <c r="H59" i="11"/>
  <c r="J58" i="11"/>
  <c r="I58" i="11"/>
  <c r="H58" i="11"/>
  <c r="J57" i="11"/>
  <c r="I57" i="11"/>
  <c r="H57" i="11"/>
  <c r="J56" i="11"/>
  <c r="I56" i="11"/>
  <c r="H56" i="11"/>
  <c r="J55" i="11"/>
  <c r="I55" i="11"/>
  <c r="H55" i="11"/>
  <c r="J54" i="11"/>
  <c r="I54" i="11"/>
  <c r="H54" i="11"/>
  <c r="J53" i="11"/>
  <c r="I53" i="11"/>
  <c r="H53" i="11"/>
  <c r="J52" i="11"/>
  <c r="I52" i="11"/>
  <c r="H52" i="11"/>
  <c r="J51" i="11"/>
  <c r="I51" i="11"/>
  <c r="H51" i="11"/>
  <c r="J50" i="11"/>
  <c r="I50" i="11"/>
  <c r="H50" i="11"/>
  <c r="J49" i="11"/>
  <c r="I49" i="11"/>
  <c r="H49" i="11"/>
  <c r="J48" i="11"/>
  <c r="I48" i="11"/>
  <c r="H48" i="11"/>
  <c r="J47" i="11"/>
  <c r="I47" i="11"/>
  <c r="H47" i="11"/>
  <c r="J46" i="11"/>
  <c r="I46" i="11"/>
  <c r="H46" i="11"/>
  <c r="J45" i="11"/>
  <c r="I45" i="11"/>
  <c r="H45" i="11"/>
  <c r="J44" i="11"/>
  <c r="I44" i="11"/>
  <c r="H44" i="11"/>
  <c r="J43" i="11"/>
  <c r="I43" i="11"/>
  <c r="H43" i="11"/>
  <c r="J42" i="11"/>
  <c r="I42" i="11"/>
  <c r="H42" i="11"/>
  <c r="J41" i="11"/>
  <c r="I41" i="11"/>
  <c r="H41" i="11"/>
  <c r="J40" i="11"/>
  <c r="I40" i="11"/>
  <c r="H40" i="11"/>
  <c r="J39" i="11"/>
  <c r="I39" i="11"/>
  <c r="H39" i="11"/>
  <c r="J38" i="11"/>
  <c r="I38" i="11"/>
  <c r="H38" i="11"/>
  <c r="J37" i="11"/>
  <c r="I37" i="11"/>
  <c r="H37" i="11"/>
  <c r="J36" i="11"/>
  <c r="I36" i="11"/>
  <c r="H36" i="11"/>
  <c r="J35" i="11"/>
  <c r="I35" i="11"/>
  <c r="H35" i="11"/>
  <c r="J34" i="11"/>
  <c r="I34" i="11"/>
  <c r="H34" i="11"/>
  <c r="J33" i="11"/>
  <c r="I33" i="11"/>
  <c r="H33" i="11"/>
  <c r="J32" i="11"/>
  <c r="I32" i="11"/>
  <c r="H32" i="11"/>
  <c r="J31" i="11"/>
  <c r="I31" i="11"/>
  <c r="H31" i="11"/>
  <c r="J30" i="11"/>
  <c r="I30" i="11"/>
  <c r="H30" i="11"/>
  <c r="J29" i="11"/>
  <c r="I29" i="11"/>
  <c r="H29" i="11"/>
  <c r="J28" i="11"/>
  <c r="I28" i="11"/>
  <c r="H28" i="11"/>
  <c r="J27" i="11"/>
  <c r="I27" i="11"/>
  <c r="H27" i="11"/>
  <c r="J26" i="11"/>
  <c r="I26" i="11"/>
  <c r="H26" i="11"/>
  <c r="J25" i="11"/>
  <c r="I25" i="11"/>
  <c r="H25" i="11"/>
  <c r="J24" i="11"/>
  <c r="I24" i="11"/>
  <c r="H24" i="11"/>
  <c r="J23" i="11"/>
  <c r="I23" i="11"/>
  <c r="H23" i="11"/>
  <c r="J22" i="11"/>
  <c r="I22" i="11"/>
  <c r="H22" i="11"/>
  <c r="J21" i="11"/>
  <c r="I21" i="11"/>
  <c r="H21" i="11"/>
  <c r="J20" i="11"/>
  <c r="I20" i="11"/>
  <c r="H20" i="11"/>
  <c r="J19" i="11"/>
  <c r="I19" i="11"/>
  <c r="H19" i="11"/>
  <c r="J18" i="11"/>
  <c r="I18" i="11"/>
  <c r="H18" i="11"/>
  <c r="J17" i="11"/>
  <c r="I17" i="11"/>
  <c r="H17" i="11"/>
  <c r="J16" i="11"/>
  <c r="I16" i="11"/>
  <c r="H16" i="11"/>
  <c r="J15" i="11"/>
  <c r="I15" i="11"/>
  <c r="H15" i="11"/>
  <c r="J14" i="11"/>
  <c r="I14" i="11"/>
  <c r="H14" i="11"/>
  <c r="J13" i="11"/>
  <c r="I13" i="11"/>
  <c r="H13" i="11"/>
  <c r="J12" i="11"/>
  <c r="I12" i="11"/>
  <c r="H12" i="11"/>
  <c r="J11" i="11"/>
  <c r="I11" i="11"/>
  <c r="H11" i="11"/>
  <c r="J10" i="11"/>
  <c r="I10" i="11"/>
  <c r="H10" i="11"/>
  <c r="J9" i="11"/>
  <c r="I9" i="11"/>
  <c r="H9" i="11"/>
  <c r="J8" i="11"/>
  <c r="I8" i="11"/>
  <c r="H8" i="11"/>
  <c r="J7" i="11"/>
  <c r="I7" i="11"/>
  <c r="H7" i="11"/>
  <c r="I6" i="11"/>
  <c r="J6" i="11" s="1"/>
  <c r="H6" i="11"/>
  <c r="J5" i="11"/>
  <c r="I5" i="11"/>
  <c r="H5" i="11"/>
  <c r="P4" i="11"/>
  <c r="O4" i="11"/>
  <c r="N4" i="11"/>
  <c r="M4" i="11"/>
  <c r="L4" i="11"/>
  <c r="J4" i="11"/>
  <c r="I4" i="11"/>
  <c r="H4" i="11"/>
  <c r="I11" i="9"/>
  <c r="H11" i="9"/>
  <c r="G11" i="9"/>
  <c r="F11" i="9"/>
  <c r="I10" i="9"/>
  <c r="H10" i="9"/>
  <c r="I9" i="9"/>
  <c r="H9" i="9"/>
  <c r="I8" i="9"/>
  <c r="H8" i="9"/>
  <c r="I7" i="9"/>
  <c r="H7" i="9"/>
  <c r="I6" i="9"/>
  <c r="H6" i="9"/>
  <c r="I5" i="9"/>
  <c r="H5" i="9"/>
  <c r="I4" i="9"/>
  <c r="H4" i="9"/>
  <c r="T8" i="3"/>
  <c r="T7" i="3"/>
  <c r="T6" i="3"/>
  <c r="T5" i="3"/>
  <c r="T4" i="3"/>
  <c r="P4" i="3"/>
  <c r="K7" i="24" l="1"/>
  <c r="L7" i="24" s="1"/>
  <c r="A4"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M2Ultra</author>
  </authors>
  <commentList>
    <comment ref="E8" authorId="0" shapeId="0" xr:uid="{96BDA7BA-2210-FF40-9E60-D74265AEA296}">
      <text>
        <r>
          <rPr>
            <b/>
            <sz val="10"/>
            <color rgb="FF000000"/>
            <rFont val="Tahoma"/>
            <family val="2"/>
          </rPr>
          <t>M2Ultra:</t>
        </r>
        <r>
          <rPr>
            <sz val="10"/>
            <color rgb="FF000000"/>
            <rFont val="Tahoma"/>
            <family val="2"/>
          </rPr>
          <t xml:space="preserve">
Assumed 12TB from label '12RB' — adjust to actual</t>
        </r>
      </text>
    </comment>
    <comment ref="E9" authorId="0" shapeId="0" xr:uid="{14746618-6D86-474E-8D08-45BF29769623}">
      <text>
        <r>
          <rPr>
            <b/>
            <sz val="10"/>
            <color rgb="FF000000"/>
            <rFont val="Tahoma"/>
            <family val="2"/>
          </rPr>
          <t>M2Ultra:</t>
        </r>
        <r>
          <rPr>
            <sz val="10"/>
            <color rgb="FF000000"/>
            <rFont val="Tahoma"/>
            <family val="2"/>
          </rPr>
          <t xml:space="preserve">
Assumed 4TB from label 'MAG4TB' — adjust to actual</t>
        </r>
      </text>
    </comment>
  </commentList>
</comments>
</file>

<file path=xl/sharedStrings.xml><?xml version="1.0" encoding="utf-8"?>
<sst xmlns="http://schemas.openxmlformats.org/spreadsheetml/2006/main" count="5312" uniqueCount="3242">
  <si>
    <t>Master Library Inventory</t>
  </si>
  <si>
    <t>Lib ID</t>
  </si>
  <si>
    <t>Library Name</t>
  </si>
  <si>
    <t>Vendor / Developer</t>
  </si>
  <si>
    <t>Product Line</t>
  </si>
  <si>
    <t>Version</t>
  </si>
  <si>
    <t>Category</t>
  </si>
  <si>
    <t>Sub-Category</t>
  </si>
  <si>
    <t>Sample Format</t>
  </si>
  <si>
    <t>License Type</t>
  </si>
  <si>
    <t>Serial / Key</t>
  </si>
  <si>
    <t>Original Path</t>
  </si>
  <si>
    <t>Pristine Path</t>
  </si>
  <si>
    <t>Size (GB)</t>
  </si>
  <si>
    <t># Files</t>
  </si>
  <si>
    <t>Has Metadata?</t>
  </si>
  <si>
    <t>Tagging System</t>
  </si>
  <si>
    <t>Commercial?</t>
  </si>
  <si>
    <t>Date Acquired</t>
  </si>
  <si>
    <t>Date Scanned</t>
  </si>
  <si>
    <t>Date Processed</t>
  </si>
  <si>
    <t>Status</t>
  </si>
  <si>
    <t>DEVONthink DB</t>
  </si>
  <si>
    <t>TagSpaces Tagged?</t>
  </si>
  <si>
    <t>Notes</t>
  </si>
  <si>
    <t>LIB-001</t>
  </si>
  <si>
    <t>Albion ONE</t>
  </si>
  <si>
    <t>Spitfire Audio</t>
  </si>
  <si>
    <t>Albion</t>
  </si>
  <si>
    <t>Orchestral</t>
  </si>
  <si>
    <t>Cinematic Strings/Brass/Perc</t>
  </si>
  <si>
    <t>Kontakt</t>
  </si>
  <si>
    <t>Commercial</t>
  </si>
  <si>
    <t>Y</t>
  </si>
  <si>
    <t>Untouched</t>
  </si>
  <si>
    <t>LIB-002</t>
  </si>
  <si>
    <t>Damage 2</t>
  </si>
  <si>
    <t>Heavyocity</t>
  </si>
  <si>
    <t>Damage</t>
  </si>
  <si>
    <t>Cinematic Percussion</t>
  </si>
  <si>
    <t>Epic Drums</t>
  </si>
  <si>
    <t>LIB-003</t>
  </si>
  <si>
    <t>Komplete 14 Ultimate</t>
  </si>
  <si>
    <t>Native Instruments</t>
  </si>
  <si>
    <t>Komplete</t>
  </si>
  <si>
    <t>Bundle</t>
  </si>
  <si>
    <t>Multi (Synths/Instruments/Effects)</t>
  </si>
  <si>
    <t>Kontakt / NKS</t>
  </si>
  <si>
    <t>LIB-004</t>
  </si>
  <si>
    <t>Analog Brass &amp; Winds</t>
  </si>
  <si>
    <t>Output</t>
  </si>
  <si>
    <t>Analog</t>
  </si>
  <si>
    <t>Hybrid</t>
  </si>
  <si>
    <t>Brass/Winds</t>
  </si>
  <si>
    <t>Kontakt Player</t>
  </si>
  <si>
    <t>LIB-005</t>
  </si>
  <si>
    <t>BOOM Cinematic Trailers</t>
  </si>
  <si>
    <t>BOOM Library</t>
  </si>
  <si>
    <t>Cinematic</t>
  </si>
  <si>
    <t>SFX</t>
  </si>
  <si>
    <t>Trailer / Risers / Impacts</t>
  </si>
  <si>
    <t>WAV</t>
  </si>
  <si>
    <t>Royalty-Free</t>
  </si>
  <si>
    <t>BWAV iXML / Soundminer</t>
  </si>
  <si>
    <t>LIB-006</t>
  </si>
  <si>
    <t>Pro Sound Effects Library</t>
  </si>
  <si>
    <t>Pro Sound Effects</t>
  </si>
  <si>
    <t>Master Library</t>
  </si>
  <si>
    <t>Foley / Ambience / Designed</t>
  </si>
  <si>
    <t>WAV / BWF</t>
  </si>
  <si>
    <t>BWAV iXML / UCS</t>
  </si>
  <si>
    <t>LIB-007</t>
  </si>
  <si>
    <t>Sound Ideas General Series 6000</t>
  </si>
  <si>
    <t>Sound Ideas</t>
  </si>
  <si>
    <t>General</t>
  </si>
  <si>
    <t>General Effects</t>
  </si>
  <si>
    <t>WAV / AIFF</t>
  </si>
  <si>
    <t>CSV Catalog</t>
  </si>
  <si>
    <t>LIB-008</t>
  </si>
  <si>
    <t>Splice Sounds (Subscription)</t>
  </si>
  <si>
    <t>Splice</t>
  </si>
  <si>
    <t>Sounds</t>
  </si>
  <si>
    <t>Loops / One-Shots</t>
  </si>
  <si>
    <t>Multi-Genre</t>
  </si>
  <si>
    <t>Subscription / Royalty-Free</t>
  </si>
  <si>
    <t>Partial</t>
  </si>
  <si>
    <t>Filename Convention</t>
  </si>
  <si>
    <t>LIB-009</t>
  </si>
  <si>
    <t>Loopmasters Sample Packs</t>
  </si>
  <si>
    <t>Loopmasters</t>
  </si>
  <si>
    <t>Various</t>
  </si>
  <si>
    <t>WAV / REX2 / Apple Loops</t>
  </si>
  <si>
    <t>LIB-010</t>
  </si>
  <si>
    <t>Cymatics Sample Packs</t>
  </si>
  <si>
    <t>Cymatics</t>
  </si>
  <si>
    <t>Loops / One-Shots / Presets</t>
  </si>
  <si>
    <t>EDM / Hip-Hop / Trap</t>
  </si>
  <si>
    <t>WAV / MIDI / Serum</t>
  </si>
  <si>
    <t>LIB-011</t>
  </si>
  <si>
    <t>8Dio Adagio Strings</t>
  </si>
  <si>
    <t>8Dio</t>
  </si>
  <si>
    <t>Adagio</t>
  </si>
  <si>
    <t>Strings</t>
  </si>
  <si>
    <t>LIB-012</t>
  </si>
  <si>
    <t>Berlin Strings</t>
  </si>
  <si>
    <t>Orchestral Tools</t>
  </si>
  <si>
    <t>Berlin Series</t>
  </si>
  <si>
    <t>Kontakt / SINE</t>
  </si>
  <si>
    <t>LIB-013</t>
  </si>
  <si>
    <t>Symphobia</t>
  </si>
  <si>
    <t>ProjectSAM</t>
  </si>
  <si>
    <t>Ensemble / Effects</t>
  </si>
  <si>
    <t>LIB-014</t>
  </si>
  <si>
    <t>Olympus Elements</t>
  </si>
  <si>
    <t>Soundiron</t>
  </si>
  <si>
    <t>Olympus</t>
  </si>
  <si>
    <t>Choir</t>
  </si>
  <si>
    <t>Vocal Ensemble</t>
  </si>
  <si>
    <t>LIB-015</t>
  </si>
  <si>
    <t>Vengeance Essential House</t>
  </si>
  <si>
    <t>Vengeance Sound</t>
  </si>
  <si>
    <t>Essential</t>
  </si>
  <si>
    <t>House / EDM</t>
  </si>
  <si>
    <t>LIB-016</t>
  </si>
  <si>
    <t>Soundly Pro</t>
  </si>
  <si>
    <t>Soundly</t>
  </si>
  <si>
    <t>Cloud Library</t>
  </si>
  <si>
    <t>Multi</t>
  </si>
  <si>
    <t>Subscription</t>
  </si>
  <si>
    <t>BWAV iXML</t>
  </si>
  <si>
    <t>LIB-017</t>
  </si>
  <si>
    <t>Performance Samples - Con Moto</t>
  </si>
  <si>
    <t>Performance Samples</t>
  </si>
  <si>
    <t>Con Moto</t>
  </si>
  <si>
    <t>LIB-018</t>
  </si>
  <si>
    <t>EastWest Hollywood Orchestra</t>
  </si>
  <si>
    <t>EastWest / Quantum Leap</t>
  </si>
  <si>
    <t>Hollywood Series</t>
  </si>
  <si>
    <t>Full Orchestra</t>
  </si>
  <si>
    <t>PLAY / Opus</t>
  </si>
  <si>
    <t>LIB-019</t>
  </si>
  <si>
    <t>Omnisphere Library</t>
  </si>
  <si>
    <t>Spectrasonics</t>
  </si>
  <si>
    <t>Omnisphere</t>
  </si>
  <si>
    <t>Synth</t>
  </si>
  <si>
    <t>Hybrid / Atmospheric</t>
  </si>
  <si>
    <t>STEAM Engine</t>
  </si>
  <si>
    <t>LIB-020</t>
  </si>
  <si>
    <t>Serum Presets (Various)</t>
  </si>
  <si>
    <t>Xfer Records</t>
  </si>
  <si>
    <t>Serum</t>
  </si>
  <si>
    <t>Synth Presets</t>
  </si>
  <si>
    <t>Wavetable</t>
  </si>
  <si>
    <t>.fxp / .wav</t>
  </si>
  <si>
    <t>Mixed</t>
  </si>
  <si>
    <t>SAMPLES — Per-File Catalog (links to Libraries via Lib ID)</t>
  </si>
  <si>
    <t>Sample ID</t>
  </si>
  <si>
    <t>Filename</t>
  </si>
  <si>
    <t>Extension</t>
  </si>
  <si>
    <t>Has Ext?</t>
  </si>
  <si>
    <t>Suspected Type</t>
  </si>
  <si>
    <t>Magic Bytes</t>
  </si>
  <si>
    <t>File Size (MB)</t>
  </si>
  <si>
    <t>Duration (s)</t>
  </si>
  <si>
    <t>Sample Rate</t>
  </si>
  <si>
    <t>Bit Depth</t>
  </si>
  <si>
    <t>Channels</t>
  </si>
  <si>
    <t>Audio Format</t>
  </si>
  <si>
    <t>Container</t>
  </si>
  <si>
    <t>Embedded Meta?</t>
  </si>
  <si>
    <t>iXML/BWAV Desc</t>
  </si>
  <si>
    <t>ID3 Title</t>
  </si>
  <si>
    <t>ID3 Artist</t>
  </si>
  <si>
    <t>SoundMiner Tags</t>
  </si>
  <si>
    <t>Vendor Hint</t>
  </si>
  <si>
    <t>Character Tags</t>
  </si>
  <si>
    <t>BPM</t>
  </si>
  <si>
    <t>Key</t>
  </si>
  <si>
    <t>Loop?</t>
  </si>
  <si>
    <t>One-Shot?</t>
  </si>
  <si>
    <t>Multisample?</t>
  </si>
  <si>
    <t>RR Count</t>
  </si>
  <si>
    <t>Vel Layers</t>
  </si>
  <si>
    <t>LLM Hint Name</t>
  </si>
  <si>
    <t>Grep Match</t>
  </si>
  <si>
    <t>Confidence %</t>
  </si>
  <si>
    <t>LLM Model</t>
  </si>
  <si>
    <t>SHA256</t>
  </si>
  <si>
    <t>Dup Of</t>
  </si>
  <si>
    <t>Stage</t>
  </si>
  <si>
    <t>Date Indexed</t>
  </si>
  <si>
    <t>SMP-000001</t>
  </si>
  <si>
    <t>Albion_ONE_Strings_Long_pp.wav</t>
  </si>
  <si>
    <t>wav</t>
  </si>
  <si>
    <t>Audio</t>
  </si>
  <si>
    <t>RIFF/WAVE</t>
  </si>
  <si>
    <t>/Volumes/Samples/Spitfire/Albion ONE/Samples/</t>
  </si>
  <si>
    <t>/Volumes/Pristine/Spitfire/Albion ONE/</t>
  </si>
  <si>
    <t>Stereo</t>
  </si>
  <si>
    <t>BWAV</t>
  </si>
  <si>
    <t>Strings - Long - pp - Albion ONE</t>
  </si>
  <si>
    <t>Ensemble Long</t>
  </si>
  <si>
    <t>warm, cinematic, lush</t>
  </si>
  <si>
    <t>N</t>
  </si>
  <si>
    <t>Indexed</t>
  </si>
  <si>
    <t>SMP-000002</t>
  </si>
  <si>
    <t>Cinematic_Boom_Heavy_03.wav</t>
  </si>
  <si>
    <t>/Volumes/Samples/BOOM/Cinematic Trailers/Booms/</t>
  </si>
  <si>
    <t>/Volumes/Pristine/BOOM/Cinematic Trailers/</t>
  </si>
  <si>
    <t>BWAV+iXML</t>
  </si>
  <si>
    <t>Heavy cinematic boom impact tail</t>
  </si>
  <si>
    <t>Impact / Boom</t>
  </si>
  <si>
    <t>deep, heavy, sub</t>
  </si>
  <si>
    <t>SMP-000003</t>
  </si>
  <si>
    <t>vox_chop_dreamy_120.wav</t>
  </si>
  <si>
    <t>.wav</t>
  </si>
  <si>
    <t>RIFF</t>
  </si>
  <si>
    <t>/Volumes/Samples/Splice/Vocals/vox_chop_dreamy_120.wav</t>
  </si>
  <si>
    <t>Vocals</t>
  </si>
  <si>
    <t>Chops</t>
  </si>
  <si>
    <t>dreamy, pitched, wet</t>
  </si>
  <si>
    <t>Am</t>
  </si>
  <si>
    <t>Female Dreamy Vocal Chop Am 120 BPM</t>
  </si>
  <si>
    <t>vox|chop|dreamy</t>
  </si>
  <si>
    <t>Llama-3.1-8B</t>
  </si>
  <si>
    <t>Tagged</t>
  </si>
  <si>
    <t>SMP-000004</t>
  </si>
  <si>
    <t>Kontakt_Piano_C3_v04_rr2.nki</t>
  </si>
  <si>
    <t>.nki</t>
  </si>
  <si>
    <t>Data</t>
  </si>
  <si>
    <t>/Volumes/Samples/NI/Komplete14/Library/Piano/Kontakt_Piano_C3_v04_rr2.nki</t>
  </si>
  <si>
    <t>NKI</t>
  </si>
  <si>
    <t>Instruments</t>
  </si>
  <si>
    <t>Piano</t>
  </si>
  <si>
    <t>C3</t>
  </si>
  <si>
    <t>Kontakt Piano Patch C3 Velocity 4 RR2</t>
  </si>
  <si>
    <t>piano|nki|kontakt</t>
  </si>
  <si>
    <t>SMP-000005</t>
  </si>
  <si>
    <t>???</t>
  </si>
  <si>
    <t>UNKNOWN_FILE_001</t>
  </si>
  <si>
    <t>Unknown</t>
  </si>
  <si>
    <t>52 49 46 46</t>
  </si>
  <si>
    <t>/Volumes/OldDrive/recovered/UNKNOWN_FILE_001</t>
  </si>
  <si>
    <t>WAV (suspected)</t>
  </si>
  <si>
    <t>Possibly WAV — RIFF header detected, no extension</t>
  </si>
  <si>
    <t>magic:RIFF</t>
  </si>
  <si>
    <t>file-magic + LLM</t>
  </si>
  <si>
    <t>Needs Review</t>
  </si>
  <si>
    <t>ORPHAN — grep target. Magic bytes = RIFF/WAVE. Rename to .wav after audition.</t>
  </si>
  <si>
    <t>SMP-000006</t>
  </si>
  <si>
    <t>data_blob_4429</t>
  </si>
  <si>
    <t>7B 22 76 65</t>
  </si>
  <si>
    <t>/Volumes/OldDrive/recovered/data_blob_4429</t>
  </si>
  <si>
    <t>JSON (suspected)</t>
  </si>
  <si>
    <t>Likely JSON metadata sidecar — starts with {"ve</t>
  </si>
  <si>
    <t>magic:{"</t>
  </si>
  <si>
    <t>ORPHAN — data file, not audio. Could be tagging metadata from old session.</t>
  </si>
  <si>
    <t>SMP-000007</t>
  </si>
  <si>
    <t>PSE_Foley_Footstep_Gravel_03.wav</t>
  </si>
  <si>
    <t>/Volumes/SFX/PSE/Foley/Footsteps/PSE_Foley_Footstep_Gravel_03.wav</t>
  </si>
  <si>
    <t>Footstep on gravel, single step, dry</t>
  </si>
  <si>
    <t>footstep, gravel, foley, walk, dry</t>
  </si>
  <si>
    <t>Foley</t>
  </si>
  <si>
    <t>Footsteps</t>
  </si>
  <si>
    <t>dry, close, single</t>
  </si>
  <si>
    <t>Foley Footstep Gravel Single Dry</t>
  </si>
  <si>
    <t>footstep|gravel|foley</t>
  </si>
  <si>
    <t>Pristine</t>
  </si>
  <si>
    <t>SMP-000008</t>
  </si>
  <si>
    <t>Serum_Preset_LeadBass_Wobble.fxp</t>
  </si>
  <si>
    <t>.fxp</t>
  </si>
  <si>
    <t>FXP</t>
  </si>
  <si>
    <t>/Library/Audio/Presets/Xfer/Serum/LeadBass_Wobble.fxp</t>
  </si>
  <si>
    <t>VST Preset</t>
  </si>
  <si>
    <t>Synth Preset</t>
  </si>
  <si>
    <t>Bass</t>
  </si>
  <si>
    <t>wobble, dirty, lead</t>
  </si>
  <si>
    <t>Serum Lead Bass Wobble Preset</t>
  </si>
  <si>
    <t>fxp|serum|preset</t>
  </si>
  <si>
    <t>PROCESSING PIPELINE — Stage-by-Stage Tracker</t>
  </si>
  <si>
    <t>One row per sample. Track each stage of the discovery → identification → cleaning → pristine workflow.</t>
  </si>
  <si>
    <t>Filename (ref)</t>
  </si>
  <si>
    <t>S1: Discovered</t>
  </si>
  <si>
    <t>S2: Scanned (DC)</t>
  </si>
  <si>
    <t>S3: Magic Bytes</t>
  </si>
  <si>
    <t>S4: LLM Named</t>
  </si>
  <si>
    <t>S5: Tagged</t>
  </si>
  <si>
    <t>S6: SuperSonic</t>
  </si>
  <si>
    <t>S7: Pristine Move</t>
  </si>
  <si>
    <t>S8: DEVONthink</t>
  </si>
  <si>
    <t>S9: TagSpaces</t>
  </si>
  <si>
    <t>S10: Soundly</t>
  </si>
  <si>
    <t>Tool/Script</t>
  </si>
  <si>
    <t>Last Stage Date</t>
  </si>
  <si>
    <t>Total Time (min)</t>
  </si>
  <si>
    <t>Errors</t>
  </si>
  <si>
    <t>Retry Count</t>
  </si>
  <si>
    <t>Current Stage</t>
  </si>
  <si>
    <t>% Complete</t>
  </si>
  <si>
    <t>Strings_Sus_C3_v1.wav</t>
  </si>
  <si>
    <t>✓</t>
  </si>
  <si>
    <t>qwen2.5-7b</t>
  </si>
  <si>
    <t>DC+SuperSonic</t>
  </si>
  <si>
    <t>Complete</t>
  </si>
  <si>
    <t>Full pipeline reference example</t>
  </si>
  <si>
    <t>Boom_Cinematic_Heavy_01.wav</t>
  </si>
  <si>
    <t>Awaiting pristine move</t>
  </si>
  <si>
    <t>Cleaned, ready to move</t>
  </si>
  <si>
    <t>vox_chop_dreamy_120bpm.wav</t>
  </si>
  <si>
    <t>llama-3.1-8b</t>
  </si>
  <si>
    <t>DC scan</t>
  </si>
  <si>
    <t>Needs tagging</t>
  </si>
  <si>
    <t>Splice subscription — check rights</t>
  </si>
  <si>
    <t>?</t>
  </si>
  <si>
    <t>qwen2.5-14b</t>
  </si>
  <si>
    <t>DC + magic bytes</t>
  </si>
  <si>
    <t>LLM confidence low — manual review</t>
  </si>
  <si>
    <t>ORPHAN FILE — RIFF header detected, likely WAV but no ext</t>
  </si>
  <si>
    <t>Not audio — JSON config blob</t>
  </si>
  <si>
    <t>Skip (non-audio)</t>
  </si>
  <si>
    <t>ORPHAN — JSON, not a sample. Quarantine.</t>
  </si>
  <si>
    <t>Commercial Vendors Reference — Path &amp; Filename Patterns</t>
  </si>
  <si>
    <t>Use these patterns to grep file paths and detect which vendor a sample belongs to. Add new patterns as you discover them.</t>
  </si>
  <si>
    <t>Vendor ID</t>
  </si>
  <si>
    <t>Vendor Name</t>
  </si>
  <si>
    <t>Website</t>
  </si>
  <si>
    <t>Path Patterns</t>
  </si>
  <si>
    <t>Filename Prefixes</t>
  </si>
  <si>
    <t>File Format Signatures</t>
  </si>
  <si>
    <t>Typical Install Location</t>
  </si>
  <si>
    <t>Auth/DRM</t>
  </si>
  <si>
    <t>Categories</t>
  </si>
  <si>
    <t>V-001</t>
  </si>
  <si>
    <t>spitfireaudio.com</t>
  </si>
  <si>
    <t>/Spitfire Audio/, /Spitfire/</t>
  </si>
  <si>
    <t>SA_, SF_, BBC_, Albion_, Abbey_</t>
  </si>
  <si>
    <t>.nki .nkr (Kontakt); .lock</t>
  </si>
  <si>
    <t>~/Spitfire Audio/ | /Library/Application Support/Spitfire Audio</t>
  </si>
  <si>
    <t>Spitfire App / Native Access</t>
  </si>
  <si>
    <t>Orchestral, Strings, Brass, Choir</t>
  </si>
  <si>
    <t>V-002</t>
  </si>
  <si>
    <t>native-instruments.com</t>
  </si>
  <si>
    <t>/Native Instruments/, /Kontakt/, /Komplete/</t>
  </si>
  <si>
    <t>NI_, K_, Maschine_</t>
  </si>
  <si>
    <t>.nki .nkx .nkc .nkr .mxgrp .nksn</t>
  </si>
  <si>
    <t>~/Documents/Native Instruments/ | /Users/Shared/NI Resources/</t>
  </si>
  <si>
    <t>Native Access / NKS</t>
  </si>
  <si>
    <t>Instruments, Synths, Drums, Effects</t>
  </si>
  <si>
    <t>Look for .nicnt installer descriptors</t>
  </si>
  <si>
    <t>V-003</t>
  </si>
  <si>
    <t>heavyocity.com</t>
  </si>
  <si>
    <t>/Heavyocity/, /Damage/, /Gravity/</t>
  </si>
  <si>
    <t>HVY_, DMG_, GRV_</t>
  </si>
  <si>
    <t>.nki (Kontakt Player)</t>
  </si>
  <si>
    <t>~/Heavyocity/ | NI library folders</t>
  </si>
  <si>
    <t>Native Access</t>
  </si>
  <si>
    <t>Cinematic, Percussion, Hybrid</t>
  </si>
  <si>
    <t>Heavy use of multisample velocity layers</t>
  </si>
  <si>
    <t>V-004</t>
  </si>
  <si>
    <t>output.com</t>
  </si>
  <si>
    <t>/Output/, /Arcade/</t>
  </si>
  <si>
    <t>OUT_, ARC_, AB_, AW_</t>
  </si>
  <si>
    <t>.nki; Arcade .arcade</t>
  </si>
  <si>
    <t>~/Output/</t>
  </si>
  <si>
    <t>Output Hub / Native Access</t>
  </si>
  <si>
    <t>Synths, Loops, Cinematic</t>
  </si>
  <si>
    <t>Arcade samples stream from cloud</t>
  </si>
  <si>
    <t>V-005</t>
  </si>
  <si>
    <t>boomlibrary.com</t>
  </si>
  <si>
    <t>/BOOM Library/, /BOOM_/</t>
  </si>
  <si>
    <t>BOOM_, CTSFX_, DESIGNED_, CONSTRUCTION_</t>
  </si>
  <si>
    <t>.wav (BWAV with iXML); some Kontakt</t>
  </si>
  <si>
    <t>User-organized; commonly /Volumes/SFX/BOOM/</t>
  </si>
  <si>
    <t>None (DRM-free)</t>
  </si>
  <si>
    <t>SFX, Cinematic, Designed, Foley</t>
  </si>
  <si>
    <t>Excellent iXML metadata; SoundMiner-ready</t>
  </si>
  <si>
    <t>V-006</t>
  </si>
  <si>
    <t>prosoundeffects.com</t>
  </si>
  <si>
    <t>/Pro Sound Effects/, /PSE_/, /Master Library/</t>
  </si>
  <si>
    <t>PSE_, MSTR_, NYC_, BBC_</t>
  </si>
  <si>
    <t>.wav BWAV (deep iXML metadata)</t>
  </si>
  <si>
    <t>/Volumes/PSE/ or external SSD</t>
  </si>
  <si>
    <t>None</t>
  </si>
  <si>
    <t>SFX, Foley, Ambience, Field Recording</t>
  </si>
  <si>
    <t>Embedded ID3+iXML — SoundMiner gold standard</t>
  </si>
  <si>
    <t>V-007</t>
  </si>
  <si>
    <t>splice.com</t>
  </si>
  <si>
    <t>/Splice/, /splice_sounds/</t>
  </si>
  <si>
    <t>VARIES (artist names)</t>
  </si>
  <si>
    <t>.wav (mostly), .mid</t>
  </si>
  <si>
    <t>~/Splice/sounds/</t>
  </si>
  <si>
    <t>Splice app subscription</t>
  </si>
  <si>
    <t>Loops, One-shots, Vocals</t>
  </si>
  <si>
    <t>Metadata in path: bpm/key in folder names</t>
  </si>
  <si>
    <t>V-008</t>
  </si>
  <si>
    <t>loopmasters.com</t>
  </si>
  <si>
    <t>/Loopmasters/, /LM_/</t>
  </si>
  <si>
    <t>LM_, LPM_, BHK_</t>
  </si>
  <si>
    <t>.wav .rex2 .aif</t>
  </si>
  <si>
    <t>User-organized</t>
  </si>
  <si>
    <t>Loops, Construction Kits</t>
  </si>
  <si>
    <t>Often delivered as RAR/ZIP with structured folders</t>
  </si>
  <si>
    <t>V-009</t>
  </si>
  <si>
    <t>cymatics.fm</t>
  </si>
  <si>
    <t>/Cymatics/</t>
  </si>
  <si>
    <t>CYM_, Cymatics_</t>
  </si>
  <si>
    <t>.wav .mid .fxp .serum</t>
  </si>
  <si>
    <t>EDM, Trap, Drums, Vocals</t>
  </si>
  <si>
    <t>Free + paid mixed; check email receipts</t>
  </si>
  <si>
    <t>V-010</t>
  </si>
  <si>
    <t>8dio.com</t>
  </si>
  <si>
    <t>/8Dio/, /8DIO/</t>
  </si>
  <si>
    <t>8DIO_, AGT_, CAGE_</t>
  </si>
  <si>
    <t>.nki (Kontakt full)</t>
  </si>
  <si>
    <t>~/8Dio/</t>
  </si>
  <si>
    <t>None (license activation)</t>
  </si>
  <si>
    <t>Orchestral, Cinematic, Ethnic</t>
  </si>
  <si>
    <t>Requires Kontakt full (not Player)</t>
  </si>
  <si>
    <t>V-011</t>
  </si>
  <si>
    <t>orchestraltools.com</t>
  </si>
  <si>
    <t>/Orchestral Tools/, /OT_/, /Berlin/</t>
  </si>
  <si>
    <t>OT_, BRL_, JXL_, TIME_MACRO_</t>
  </si>
  <si>
    <t>.sfz (SINE player); .ot proprietary</t>
  </si>
  <si>
    <t>/Library/Application Support/Orchestral Tools/</t>
  </si>
  <si>
    <t>SINE Player</t>
  </si>
  <si>
    <t>Orchestral, Strings, Winds</t>
  </si>
  <si>
    <t>SINE Player required — NOT Kontakt</t>
  </si>
  <si>
    <t>V-012</t>
  </si>
  <si>
    <t>projectsam.com</t>
  </si>
  <si>
    <t>/ProjectSAM/, /Symphobia/, /Orchestral Essentials/</t>
  </si>
  <si>
    <t>PS_, SYM_, OE_</t>
  </si>
  <si>
    <t>~/ProjectSAM/</t>
  </si>
  <si>
    <t>Orchestral, Cinematic</t>
  </si>
  <si>
    <t>Kontakt Player compatible</t>
  </si>
  <si>
    <t>V-013</t>
  </si>
  <si>
    <t>soundiron.com</t>
  </si>
  <si>
    <t>/Soundiron/</t>
  </si>
  <si>
    <t>SI_, Soundiron_</t>
  </si>
  <si>
    <t>~/Soundiron/</t>
  </si>
  <si>
    <t>Choirs, Ethnic, Cinematic</t>
  </si>
  <si>
    <t>Requires Kontakt full</t>
  </si>
  <si>
    <t>V-014</t>
  </si>
  <si>
    <t>vengeance-sound.com</t>
  </si>
  <si>
    <t>/Vengeance/, /VEC/, /Essential/</t>
  </si>
  <si>
    <t>VEC_, VPS_, Vengeance_</t>
  </si>
  <si>
    <t>.wav (loops + one-shots)</t>
  </si>
  <si>
    <t>EDM, House, Trance, Drums</t>
  </si>
  <si>
    <t>Essential series is the flagship</t>
  </si>
  <si>
    <t>V-015</t>
  </si>
  <si>
    <t>getsoundly.com</t>
  </si>
  <si>
    <t>/Soundly/, /Soundly Library/</t>
  </si>
  <si>
    <t>SDLY_, varies by source</t>
  </si>
  <si>
    <t>.wav (BWAV)</t>
  </si>
  <si>
    <t>Soundly app local cache</t>
  </si>
  <si>
    <t>Soundly app (subscription/Pro)</t>
  </si>
  <si>
    <t>SFX, Foley, Ambience</t>
  </si>
  <si>
    <t>Cloud-based SFX library + local sync</t>
  </si>
  <si>
    <t>GREP HINTS LIBRARY — Pattern detection for unknown/orphan files</t>
  </si>
  <si>
    <t>Patterns to feed your LM Studio LLM. Match these against filenames, paths, and embedded metadata to guess vendor/instrument/category.</t>
  </si>
  <si>
    <t>Pattern ID</t>
  </si>
  <si>
    <t>Pattern</t>
  </si>
  <si>
    <t>Match Type</t>
  </si>
  <si>
    <t>Indicates</t>
  </si>
  <si>
    <t>Confidence</t>
  </si>
  <si>
    <t>Source</t>
  </si>
  <si>
    <t>Example Match</t>
  </si>
  <si>
    <t>LLM Prompt Hint</t>
  </si>
  <si>
    <t>ID-001</t>
  </si>
  <si>
    <t>SF_</t>
  </si>
  <si>
    <t>prefix</t>
  </si>
  <si>
    <t>Vendor</t>
  </si>
  <si>
    <t>High</t>
  </si>
  <si>
    <t>SF_Albion_LongStrings_C3.wav</t>
  </si>
  <si>
    <t>If filename starts with 'SF_' → Spitfire Audio library</t>
  </si>
  <si>
    <t>Common Spitfire convention</t>
  </si>
  <si>
    <t>ID-002</t>
  </si>
  <si>
    <t>BOOM_</t>
  </si>
  <si>
    <t>BOOM_CTM_Boom_001.wav</t>
  </si>
  <si>
    <t>If 'BOOM_' or 'CTM_' or 'CCT_' → BOOM Library cinematic</t>
  </si>
  <si>
    <t>ID-003</t>
  </si>
  <si>
    <t>PSE_</t>
  </si>
  <si>
    <t>PSE_FOOTSTEP_Gravel_01.wav</t>
  </si>
  <si>
    <t>PSE_ prefix → Pro Sound Effects library</t>
  </si>
  <si>
    <t>ID-004</t>
  </si>
  <si>
    <t>extension</t>
  </si>
  <si>
    <t>Kontakt Instrument</t>
  </si>
  <si>
    <t>Format</t>
  </si>
  <si>
    <t>Certain</t>
  </si>
  <si>
    <t>Damage2_Kit_01.nki</t>
  </si>
  <si>
    <t>Native Instruments Kontakt instrument patch</t>
  </si>
  <si>
    <t>Usually paired with .nkc, .nkx</t>
  </si>
  <si>
    <t>ID-005</t>
  </si>
  <si>
    <t>.exs</t>
  </si>
  <si>
    <t>EXS24 Sampler</t>
  </si>
  <si>
    <t>Strings_Legato.exs</t>
  </si>
  <si>
    <t>Logic EXS24 sampler instrument</t>
  </si>
  <si>
    <t>ID-006</t>
  </si>
  <si>
    <t>magic bytes</t>
  </si>
  <si>
    <t>WAV/RIFF audio</t>
  </si>
  <si>
    <t>Audio Container</t>
  </si>
  <si>
    <t>First 4 bytes</t>
  </si>
  <si>
    <t>52 49 46 46 (RIFF)</t>
  </si>
  <si>
    <t>Orphan file with no extension → if first 4 bytes = RIFF, treat as WAV</t>
  </si>
  <si>
    <t>Critical for grep-no-ext detection</t>
  </si>
  <si>
    <t>ID-007</t>
  </si>
  <si>
    <t>FORM</t>
  </si>
  <si>
    <t>AIFF audio</t>
  </si>
  <si>
    <t>46 4F 52 4D (FORM)</t>
  </si>
  <si>
    <t>Orphan file → if first 4 bytes = FORM, treat as AIFF</t>
  </si>
  <si>
    <t>ID-008</t>
  </si>
  <si>
    <t>OggS</t>
  </si>
  <si>
    <t>OGG Vorbis</t>
  </si>
  <si>
    <t>4F 67 67 53 (OggS)</t>
  </si>
  <si>
    <t>Orphan file → OGG audio</t>
  </si>
  <si>
    <t>ID-009</t>
  </si>
  <si>
    <t>fLaC</t>
  </si>
  <si>
    <t>FLAC audio</t>
  </si>
  <si>
    <t>66 4C 61 43 (fLaC)</t>
  </si>
  <si>
    <t>Orphan file → FLAC audio</t>
  </si>
  <si>
    <t>ID-010</t>
  </si>
  <si>
    <t>ID3</t>
  </si>
  <si>
    <t>MP3 audio</t>
  </si>
  <si>
    <t>First 3 bytes</t>
  </si>
  <si>
    <t>49 44 33 (ID3)</t>
  </si>
  <si>
    <t>Orphan file → MP3 with ID3 tag</t>
  </si>
  <si>
    <t>ID-011</t>
  </si>
  <si>
    <t>caff</t>
  </si>
  <si>
    <t>CAF (Apple)</t>
  </si>
  <si>
    <t>63 61 66 66 (caff)</t>
  </si>
  <si>
    <t>Orphan → Core Audio Format (Logic/Apple)</t>
  </si>
  <si>
    <t>ID-012</t>
  </si>
  <si>
    <t>{ "version"</t>
  </si>
  <si>
    <t>JSON metadata</t>
  </si>
  <si>
    <t>Medium</t>
  </si>
  <si>
    <t>Text content</t>
  </si>
  <si>
    <t>{ "version": ..., "samples": ...</t>
  </si>
  <si>
    <t>NOT audio — likely a library manifest, preset, or metadata sidecar</t>
  </si>
  <si>
    <t>Skip from audio pipeline</t>
  </si>
  <si>
    <t>ID-013</t>
  </si>
  <si>
    <t>[A-G][#b]?[0-9]</t>
  </si>
  <si>
    <t>regex</t>
  </si>
  <si>
    <t>Pitched sample</t>
  </si>
  <si>
    <t>Instrument</t>
  </si>
  <si>
    <t>Piano_C#3_vel100.wav</t>
  </si>
  <si>
    <t>Note name in filename → multisample instrument</t>
  </si>
  <si>
    <t>Use to detect multisamples</t>
  </si>
  <si>
    <t>ID-014</t>
  </si>
  <si>
    <t>[0-9]{2,3}bpm|_[0-9]{2,3}_</t>
  </si>
  <si>
    <t>Tempo-locked loop</t>
  </si>
  <si>
    <t>Loop</t>
  </si>
  <si>
    <t>Drum_Loop_128bpm.wav OR Loop_140_Am.wav</t>
  </si>
  <si>
    <t>BPM number in name → set Loop=Y, parse BPM</t>
  </si>
  <si>
    <t>ID-015</t>
  </si>
  <si>
    <t>_RR[0-9]+|_vl[0-9]+|_vel[0-9]+</t>
  </si>
  <si>
    <t>Multisample articulation</t>
  </si>
  <si>
    <t>Violin_C3_vel80_RR2.wav</t>
  </si>
  <si>
    <t>Round-robin or velocity layer → multisample</t>
  </si>
  <si>
    <t>ID-016</t>
  </si>
  <si>
    <t>iXML</t>
  </si>
  <si>
    <t>embedded chunk</t>
  </si>
  <si>
    <t>Broadcast WAV metadata</t>
  </si>
  <si>
    <t>Metadata</t>
  </si>
  <si>
    <t>WAV chunk</t>
  </si>
  <si>
    <t>&lt;BWFXML&gt;...&lt;/BWFXML&gt;</t>
  </si>
  <si>
    <t>Has iXML → read Description, Category, Subcategory</t>
  </si>
  <si>
    <t>Soundminer/Soundly standard</t>
  </si>
  <si>
    <t>ID-017</t>
  </si>
  <si>
    <t>/Samples/</t>
  </si>
  <si>
    <t>path</t>
  </si>
  <si>
    <t>Generic sample folder</t>
  </si>
  <si>
    <t>Path</t>
  </si>
  <si>
    <t>Low</t>
  </si>
  <si>
    <t>Folder name</t>
  </si>
  <si>
    <t>/Library/Samples/MyLib/</t>
  </si>
  <si>
    <t>Weak hint — use other signals</t>
  </si>
  <si>
    <t>ID-018</t>
  </si>
  <si>
    <t>/Native Instruments/</t>
  </si>
  <si>
    <t>NI library</t>
  </si>
  <si>
    <t>Folder path</t>
  </si>
  <si>
    <t>/Users/.../Native Instruments/Komplete/</t>
  </si>
  <si>
    <t>Path contains 'Native Instruments' → NI/Komplete</t>
  </si>
  <si>
    <t>ID-019</t>
  </si>
  <si>
    <t>/Splice/</t>
  </si>
  <si>
    <t>Splice subscription</t>
  </si>
  <si>
    <t>/Splice/sounds/packs/.../</t>
  </si>
  <si>
    <t>Splice cached pack</t>
  </si>
  <si>
    <t>ID-020</t>
  </si>
  <si>
    <t>kick|snare|hat|clap|tom|perc|crash|ride</t>
  </si>
  <si>
    <t>Drum element</t>
  </si>
  <si>
    <t>Filename keyword</t>
  </si>
  <si>
    <t>808_kick_deep.wav</t>
  </si>
  <si>
    <t>Drum keyword → set Category=Drums + sub</t>
  </si>
  <si>
    <t>ID-021</t>
  </si>
  <si>
    <t>vox|vocal|voice|phrase|chop</t>
  </si>
  <si>
    <t>Vocal sample</t>
  </si>
  <si>
    <t>Vox_Chop_Am_120bpm.wav</t>
  </si>
  <si>
    <t>Vocal keyword → Category=Vocals</t>
  </si>
  <si>
    <t>ID-022</t>
  </si>
  <si>
    <t>fx|sfx|impact|riser|whoosh|sweep|hit</t>
  </si>
  <si>
    <t>Sound effect</t>
  </si>
  <si>
    <t>Impact_Cinematic_Big_03.wav</t>
  </si>
  <si>
    <t>FX keyword → Category=SFX</t>
  </si>
  <si>
    <t>TAGS — Taxonomy &amp; Character Descriptors</t>
  </si>
  <si>
    <t>Controlled vocabulary for tagging — feeds TagSpaces, DEVONthink, Soundly. Hierarchical: Tag Group › Tag › Synonyms.</t>
  </si>
  <si>
    <t>Tag ID</t>
  </si>
  <si>
    <t>Tag Group</t>
  </si>
  <si>
    <t>Tag</t>
  </si>
  <si>
    <t>Synonyms / Aliases</t>
  </si>
  <si>
    <t>Parent Tag</t>
  </si>
  <si>
    <t>Color (Hex)</t>
  </si>
  <si>
    <t>TagSpaces Tag</t>
  </si>
  <si>
    <t>DEVONthink Tag</t>
  </si>
  <si>
    <t>Example</t>
  </si>
  <si>
    <t>T-001</t>
  </si>
  <si>
    <t>violin, viola, cello, bass, ensemble</t>
  </si>
  <si>
    <t>#C71585</t>
  </si>
  <si>
    <t>instrument-strings</t>
  </si>
  <si>
    <t>Spitfire Albion ONE Strings Long</t>
  </si>
  <si>
    <t>Orchestral string family</t>
  </si>
  <si>
    <t>T-002</t>
  </si>
  <si>
    <t>Brass</t>
  </si>
  <si>
    <t>trumpet, trombone, horn, tuba</t>
  </si>
  <si>
    <t>#FFD700</t>
  </si>
  <si>
    <t>instrument-brass</t>
  </si>
  <si>
    <t>Hollywood Brass Sus</t>
  </si>
  <si>
    <t>T-003</t>
  </si>
  <si>
    <t>Drums</t>
  </si>
  <si>
    <t>kick, snare, hat, percussion</t>
  </si>
  <si>
    <t>#8B0000</t>
  </si>
  <si>
    <t>instrument-drums</t>
  </si>
  <si>
    <t>BOOM Drum Kick 808</t>
  </si>
  <si>
    <t>T-004</t>
  </si>
  <si>
    <t>analog, digital, FM, wavetable</t>
  </si>
  <si>
    <t>#00CED1</t>
  </si>
  <si>
    <t>instrument-synth</t>
  </si>
  <si>
    <t>Serum Preset Lead</t>
  </si>
  <si>
    <t>T-005</t>
  </si>
  <si>
    <t>Vocal</t>
  </si>
  <si>
    <t>vox, voice, chop, ah, oh</t>
  </si>
  <si>
    <t>#FF69B4</t>
  </si>
  <si>
    <t>instrument-vocal</t>
  </si>
  <si>
    <t>Splice Vocal Chop F#</t>
  </si>
  <si>
    <t>T-006</t>
  </si>
  <si>
    <t>sound effect, foley, impact, whoosh</t>
  </si>
  <si>
    <t>#FF8C00</t>
  </si>
  <si>
    <t>category-sfx</t>
  </si>
  <si>
    <t>BOOM Cinematic Whoosh</t>
  </si>
  <si>
    <t>T-007</t>
  </si>
  <si>
    <t>footsteps, cloth, props</t>
  </si>
  <si>
    <t>#FFA500</t>
  </si>
  <si>
    <t>category-foley</t>
  </si>
  <si>
    <t>PSE Footstep Concrete</t>
  </si>
  <si>
    <t>T-008</t>
  </si>
  <si>
    <t>Character</t>
  </si>
  <si>
    <t>Dark</t>
  </si>
  <si>
    <t>ominous, sinister, moody</t>
  </si>
  <si>
    <t>#2F2F2F</t>
  </si>
  <si>
    <t>char-dark</t>
  </si>
  <si>
    <t>Damage 2 Sub Drone</t>
  </si>
  <si>
    <t>T-009</t>
  </si>
  <si>
    <t>Bright</t>
  </si>
  <si>
    <t>shiny, glassy, crystalline</t>
  </si>
  <si>
    <t>#FFFACD</t>
  </si>
  <si>
    <t>char-bright</t>
  </si>
  <si>
    <t>Omnisphere Bell Shine</t>
  </si>
  <si>
    <t>T-010</t>
  </si>
  <si>
    <t>Lo-Fi</t>
  </si>
  <si>
    <t>vintage, tape, dusty, vinyl</t>
  </si>
  <si>
    <t>#8B4513</t>
  </si>
  <si>
    <t>char-lofi</t>
  </si>
  <si>
    <t>Cymatics Vinyl Loop</t>
  </si>
  <si>
    <t>T-011</t>
  </si>
  <si>
    <t>trailer, epic, scoring</t>
  </si>
  <si>
    <t>#4B0082</t>
  </si>
  <si>
    <t>char-cinematic</t>
  </si>
  <si>
    <t>Heavyocity Damage Hit</t>
  </si>
  <si>
    <t>T-012</t>
  </si>
  <si>
    <t>looped, beat, groove</t>
  </si>
  <si>
    <t>#32CD32</t>
  </si>
  <si>
    <t>format-loop</t>
  </si>
  <si>
    <t>Loopmasters Tech House 124</t>
  </si>
  <si>
    <t>T-013</t>
  </si>
  <si>
    <t>One-Shot</t>
  </si>
  <si>
    <t>single, hit, stab</t>
  </si>
  <si>
    <t>#1E90FF</t>
  </si>
  <si>
    <t>format-oneshot</t>
  </si>
  <si>
    <t>Cymatics Snare 808</t>
  </si>
  <si>
    <t>T-014</t>
  </si>
  <si>
    <t>Multisample</t>
  </si>
  <si>
    <t>patch, instrument, sampler</t>
  </si>
  <si>
    <t>#9370DB</t>
  </si>
  <si>
    <t>format-multi</t>
  </si>
  <si>
    <t>Kontakt .nki patch</t>
  </si>
  <si>
    <t>T-015</t>
  </si>
  <si>
    <t>paid, licensed, vendor</t>
  </si>
  <si>
    <t>#006400</t>
  </si>
  <si>
    <t>source-commercial</t>
  </si>
  <si>
    <t>Spitfire libraries</t>
  </si>
  <si>
    <t>T-016</t>
  </si>
  <si>
    <t>splice, soundly, monthly</t>
  </si>
  <si>
    <t>#228B22</t>
  </si>
  <si>
    <t>source-sub</t>
  </si>
  <si>
    <t>Splice downloaded</t>
  </si>
  <si>
    <t>T-017</t>
  </si>
  <si>
    <t>RF, CC, public domain</t>
  </si>
  <si>
    <t>#90EE90</t>
  </si>
  <si>
    <t>source-rf</t>
  </si>
  <si>
    <t>Freesound CC0</t>
  </si>
  <si>
    <t>T-018</t>
  </si>
  <si>
    <t>cleaned, finalized, indexed</t>
  </si>
  <si>
    <t>#FFFFFF</t>
  </si>
  <si>
    <t>status-pristine</t>
  </si>
  <si>
    <t>Post-SuperSonic clean</t>
  </si>
  <si>
    <t>T-019</t>
  </si>
  <si>
    <t>Orphan</t>
  </si>
  <si>
    <t>no extension, unknown, needs review</t>
  </si>
  <si>
    <t>#FF4500</t>
  </si>
  <si>
    <t>status-orphan</t>
  </si>
  <si>
    <t>T-020</t>
  </si>
  <si>
    <t>Duplicate</t>
  </si>
  <si>
    <t>dup, copy, identical</t>
  </si>
  <si>
    <t>#DC143C</t>
  </si>
  <si>
    <t>status-dup</t>
  </si>
  <si>
    <t>SHA256 collision</t>
  </si>
  <si>
    <t>See Libraries tab</t>
  </si>
  <si>
    <t>BRAND REGISTRY — Claim Rules &amp; Distribution Routing</t>
  </si>
  <si>
    <t>House brands claim matching audio first (by priority); client/project brands route to their own destinations. Grep rules feed the Scan Queue auto-classifier.</t>
  </si>
  <si>
    <t>Brand ID</t>
  </si>
  <si>
    <t>Brand Name</t>
  </si>
  <si>
    <t>Type</t>
  </si>
  <si>
    <t>Exact Grep (high conf)</t>
  </si>
  <si>
    <t>Loose Variants (low conf)</t>
  </si>
  <si>
    <t>Filename Prefix</t>
  </si>
  <si>
    <t>Claim Priority</t>
  </si>
  <si>
    <t>Clients / Projects</t>
  </si>
  <si>
    <t>Default Destination</t>
  </si>
  <si>
    <t>Tag Color</t>
  </si>
  <si>
    <t>BR-001</t>
  </si>
  <si>
    <t>NOIZYANTHROPIC</t>
  </si>
  <si>
    <t>House Brand</t>
  </si>
  <si>
    <t>noizy_anthropic | noizy-anthropic | NA_ | NZYANTH | n.anthropic</t>
  </si>
  <si>
    <t>NA_</t>
  </si>
  <si>
    <t>(flagship / core catalog)</t>
  </si>
  <si>
    <t>/Pristine/NOIZYANTHROPIC/</t>
  </si>
  <si>
    <t>#7B2D8E</t>
  </si>
  <si>
    <t>Highest claim priority — wins ties over other brands</t>
  </si>
  <si>
    <t>BR-002</t>
  </si>
  <si>
    <t>NOIZYBEAST</t>
  </si>
  <si>
    <t>noizy_beast | noizy-beast | NB_ | NZYBST | n.beast</t>
  </si>
  <si>
    <t>NB_</t>
  </si>
  <si>
    <t>(beats / loops / construction kits)</t>
  </si>
  <si>
    <t>/Pristine/NOIZYBEAST/</t>
  </si>
  <si>
    <t>#C00000</t>
  </si>
  <si>
    <t>Claims after NOIZYANTHROPIC</t>
  </si>
  <si>
    <t>BR-003</t>
  </si>
  <si>
    <t>METABEAST</t>
  </si>
  <si>
    <t>meta_beast | meta-beast | meta beast | MB_ | MTBST</t>
  </si>
  <si>
    <t>MB_</t>
  </si>
  <si>
    <t>(meta / AI-processed / derivative works)</t>
  </si>
  <si>
    <t>/Pristine/METABEAST/</t>
  </si>
  <si>
    <t>#1F6FC0</t>
  </si>
  <si>
    <t>Catches AI-rebuilt / derivative audio</t>
  </si>
  <si>
    <t>BR-100</t>
  </si>
  <si>
    <t>(client slot)</t>
  </si>
  <si>
    <t>Client</t>
  </si>
  <si>
    <t>CLIENTNAME</t>
  </si>
  <si>
    <t>client_variants_here</t>
  </si>
  <si>
    <t>CL_</t>
  </si>
  <si>
    <t>Project A / Project B</t>
  </si>
  <si>
    <t>/Pristine/Clients/CLIENTNAME/</t>
  </si>
  <si>
    <t>Duplicate this row per client</t>
  </si>
  <si>
    <t>ID-023</t>
  </si>
  <si>
    <t>contains (case-insensitive)</t>
  </si>
  <si>
    <t>Brand: NOIZYANTHROPIC</t>
  </si>
  <si>
    <t>Brand Claim</t>
  </si>
  <si>
    <t>NOIZYANTHROPIC_kick_01.wav</t>
  </si>
  <si>
    <t>If filename/path contains 'NOIZYANTHROPIC' (any case), claim for NOIZYANTHROPIC. Confidence HIGH.</t>
  </si>
  <si>
    <t>Exact brand match -&gt; auto-route to /Pristine/NOIZYANTHROPIC/</t>
  </si>
  <si>
    <t>ID-024</t>
  </si>
  <si>
    <t>noizy[-_ ]?anthropic | NA_ | anthropic</t>
  </si>
  <si>
    <t>regex / loose</t>
  </si>
  <si>
    <t>Brand: NOIZYANTHROPIC (variant)</t>
  </si>
  <si>
    <t>noizy_anthropic, NA_pad.wav, anthropic_vox</t>
  </si>
  <si>
    <t>Loose variant of NOIZYANTHROPIC. Flag LOW confidence - send to LLM review before claiming.</t>
  </si>
  <si>
    <t>Variant catch - review, watch false positives on bare 'anthropic'</t>
  </si>
  <si>
    <t>ID-025</t>
  </si>
  <si>
    <t>Brand: NOIZYBEAST</t>
  </si>
  <si>
    <t>NOIZYBEAST_growl_03.wav</t>
  </si>
  <si>
    <t>If filename/path contains 'NOIZYBEAST' (any case), claim for NOIZYBEAST. Confidence HIGH.</t>
  </si>
  <si>
    <t>Exact brand match -&gt; auto-route to /Pristine/NOIZYBEAST/</t>
  </si>
  <si>
    <t>ID-026</t>
  </si>
  <si>
    <t>noizy[-_ ]?beast | NB_ | beast</t>
  </si>
  <si>
    <t>Brand: NOIZYBEAST (variant)</t>
  </si>
  <si>
    <t>noizy-beast, NB_sub.wav, beast_layer</t>
  </si>
  <si>
    <t>Loose variant of NOIZYBEAST. Flag LOW confidence - send to LLM review. 'beast' alone is risky.</t>
  </si>
  <si>
    <t>Variant catch - review, 'beast' overlaps METABEAST</t>
  </si>
  <si>
    <t>ID-027</t>
  </si>
  <si>
    <t>Brand: METABEAST</t>
  </si>
  <si>
    <t>METABEAST_riser_07.wav</t>
  </si>
  <si>
    <t>If filename/path contains 'METABEAST' (any case), claim for METABEAST. Confidence HIGH.</t>
  </si>
  <si>
    <t>Exact brand match -&gt; auto-route to /Pristine/METABEAST/</t>
  </si>
  <si>
    <t>ID-028</t>
  </si>
  <si>
    <t>meta[-_ ]?beast | MB_ | metab</t>
  </si>
  <si>
    <t>Brand: METABEAST (variant)</t>
  </si>
  <si>
    <t>meta_beast, MB_hit.wav, metabeast</t>
  </si>
  <si>
    <t>Loose variant of METABEAST. Flag LOW confidence. Disambiguate from NOIZYBEAST when only 'beast' present.</t>
  </si>
  <si>
    <t>Variant catch - priority: METABEAST only if 'meta' present, else NOIZYBEAST</t>
  </si>
  <si>
    <t>DISTRIBUTION NETWORK — Target Locations, Capacity &amp; Redundancy</t>
  </si>
  <si>
    <t>Where pristine audio lands after processing. Free/%, redundancy, and sync-partner tracking. Capacity is manual-entry (this sheet can't read live disk).</t>
  </si>
  <si>
    <t>Dest ID</t>
  </si>
  <si>
    <t>Location Name</t>
  </si>
  <si>
    <t>Path / Mount</t>
  </si>
  <si>
    <t>Brand Assignment</t>
  </si>
  <si>
    <t>Capacity (GB)</t>
  </si>
  <si>
    <t>Used (GB)</t>
  </si>
  <si>
    <t>Free (GB)</t>
  </si>
  <si>
    <t>% Full</t>
  </si>
  <si>
    <t>Redundancy</t>
  </si>
  <si>
    <t>Sync Partner</t>
  </si>
  <si>
    <t>Priority</t>
  </si>
  <si>
    <t>Last Verified</t>
  </si>
  <si>
    <t>DST-001</t>
  </si>
  <si>
    <t>Pristine Masters (Primary)</t>
  </si>
  <si>
    <t>Primary</t>
  </si>
  <si>
    <t>/Volumes/PRISTINE/Masters/</t>
  </si>
  <si>
    <t>ALL</t>
  </si>
  <si>
    <t>RAID-5</t>
  </si>
  <si>
    <t>DST-003</t>
  </si>
  <si>
    <t>Online</t>
  </si>
  <si>
    <t>Authoritative copy — never edited in place</t>
  </si>
  <si>
    <t>DST-002</t>
  </si>
  <si>
    <t>Working / Processing</t>
  </si>
  <si>
    <t>Working</t>
  </si>
  <si>
    <t>/Volumes/WORK/Staging/</t>
  </si>
  <si>
    <t>Single</t>
  </si>
  <si>
    <t>—</t>
  </si>
  <si>
    <t>SuperSonic scratch — cleared after pristine move</t>
  </si>
  <si>
    <t>Backup Mirror (Offsite)</t>
  </si>
  <si>
    <t>Backup</t>
  </si>
  <si>
    <t>/Volumes/BACKUP/Mirror/</t>
  </si>
  <si>
    <t>Mirror</t>
  </si>
  <si>
    <t>1:1 mirror of DST-001</t>
  </si>
  <si>
    <t>DST-004</t>
  </si>
  <si>
    <t>Cloud Archive</t>
  </si>
  <si>
    <t>Archive</t>
  </si>
  <si>
    <t>s3://noizy-archive/pristine/</t>
  </si>
  <si>
    <t>Cloud-sync</t>
  </si>
  <si>
    <t>Cold storage — deep archive tier</t>
  </si>
  <si>
    <t>DST-010</t>
  </si>
  <si>
    <t>NOIZYANTHROPIC Pristine</t>
  </si>
  <si>
    <t>/Volumes/PRISTINE/Masters/NOIZYANTHROPIC/</t>
  </si>
  <si>
    <t>Brand subfolder of DST-001</t>
  </si>
  <si>
    <t>DST-011</t>
  </si>
  <si>
    <t>NOIZYBEAST Pristine</t>
  </si>
  <si>
    <t>/Volumes/PRISTINE/Masters/NOIZYBEAST/</t>
  </si>
  <si>
    <t>DST-012</t>
  </si>
  <si>
    <t>METABEAST Pristine</t>
  </si>
  <si>
    <t>/Volumes/PRISTINE/Masters/METABEAST/</t>
  </si>
  <si>
    <t>TOTAL</t>
  </si>
  <si>
    <t>INTEGRITY &amp; DEDUPLICATION — Hash Verification, Duplicate Detection &amp; Audio Rebuild Tracking</t>
  </si>
  <si>
    <t>Scanner writes SHA256 + size per file. Same hash = exact dup. Same audio-fingerprint, different hash = re-encode/near-dup. Corrupt/headerless files flagged for SuperSonic rebuild.</t>
  </si>
  <si>
    <t>Integrity ID</t>
  </si>
  <si>
    <t>SHA256 Hash</t>
  </si>
  <si>
    <t>Size (bytes)</t>
  </si>
  <si>
    <t>Duplicate?</t>
  </si>
  <si>
    <t>Duplicate Of</t>
  </si>
  <si>
    <t>Detection Method</t>
  </si>
  <si>
    <t>Integrity Status</t>
  </si>
  <si>
    <t>Rebuild Needed?</t>
  </si>
  <si>
    <t>Rebuild Method</t>
  </si>
  <si>
    <t>Bit-Exact?</t>
  </si>
  <si>
    <t>Verified By</t>
  </si>
  <si>
    <t>INT-000001</t>
  </si>
  <si>
    <t>SF_Albion_ONE_Strings_Sus_C2_RR1.wav</t>
  </si>
  <si>
    <t>a3f5c9e1b7d2...8f4e (64-char)</t>
  </si>
  <si>
    <t>hash</t>
  </si>
  <si>
    <t>Verified</t>
  </si>
  <si>
    <t>Desktop Commander</t>
  </si>
  <si>
    <t>Master copy — unique</t>
  </si>
  <si>
    <t>INT-000002</t>
  </si>
  <si>
    <t>Footstep_Gravel_01.wav</t>
  </si>
  <si>
    <t>EXACT dup of INT-000001 — same SHA256. Safe to delete, keep master.</t>
  </si>
  <si>
    <t>INT-000003</t>
  </si>
  <si>
    <t>Vox_Chop_Am_128bpm.wav</t>
  </si>
  <si>
    <t>c8b1f0a4...2e9d (64-char)</t>
  </si>
  <si>
    <t>Near</t>
  </si>
  <si>
    <t>INT-000003-src</t>
  </si>
  <si>
    <t>audio-fingerprint</t>
  </si>
  <si>
    <t>SuperSonic</t>
  </si>
  <si>
    <t>Same audio, different encode (MP3→WAV). Keep highest-quality source.</t>
  </si>
  <si>
    <t>INT-000004</t>
  </si>
  <si>
    <t>UNKNOWN_FILE_001 (no ext)</t>
  </si>
  <si>
    <t>f1e2d3c4...9a0b (64-char)</t>
  </si>
  <si>
    <t>Corrupt</t>
  </si>
  <si>
    <t>Repair WAV header (RIFF detected, no ext)</t>
  </si>
  <si>
    <t>Orphan w/ RIFF magic bytes but broken header — rebuild + re-extension to .wav</t>
  </si>
  <si>
    <t>INT-000005</t>
  </si>
  <si>
    <t>data_blob_4429 (no ext)</t>
  </si>
  <si>
    <t>0a1b2c3d...4e5f (64-char)</t>
  </si>
  <si>
    <t>Not Audio</t>
  </si>
  <si>
    <t>n/a</t>
  </si>
  <si>
    <t>JSON magic bytes — metadata sidecar, not audio. Route to data, skip rebuild.</t>
  </si>
  <si>
    <t>SCAN QUEUE — Paste Scanner Output Below (cols A–G) · Auto-Classify Runs in H–T</t>
  </si>
  <si>
    <t>WORKFLOW: Desktop Commander / your scanner writes raw file data into A–G. Formulas in H–T auto-detect brand, destination, type, duplicates, and project grouping. Then filter/sort and dispatch.</t>
  </si>
  <si>
    <t>Q ID</t>
  </si>
  <si>
    <t>Filename (paste)</t>
  </si>
  <si>
    <t>Full Path (paste)</t>
  </si>
  <si>
    <t>Size bytes (paste)</t>
  </si>
  <si>
    <t>Ext (paste)</t>
  </si>
  <si>
    <t>Modified (paste)</t>
  </si>
  <si>
    <t>SHA256 (paste)</t>
  </si>
  <si>
    <t>Detected Brand</t>
  </si>
  <si>
    <t>Brand Conf</t>
  </si>
  <si>
    <t>Project/Product</t>
  </si>
  <si>
    <t>Target Destination</t>
  </si>
  <si>
    <t>Dup Count</t>
  </si>
  <si>
    <t>Dup Status</t>
  </si>
  <si>
    <t>Files in Project</t>
  </si>
  <si>
    <t>Action</t>
  </si>
  <si>
    <t>Q-0001</t>
  </si>
  <si>
    <t>NOIZYANTHROPIC_Kick_01.wav</t>
  </si>
  <si>
    <t>/Vol/Audio/NOIZYANTHROPIC/DrumKit_Vol1/NOIZYANTHROPIC_Kick_01.wav</t>
  </si>
  <si>
    <t>HASHAAA111</t>
  </si>
  <si>
    <t>DrumKit_Vol1</t>
  </si>
  <si>
    <t>Q-0002</t>
  </si>
  <si>
    <t>MB_Riser_FX.wav</t>
  </si>
  <si>
    <t>/Vol/Audio/METABEAST/TrailerPack/MB_Riser_FX.wav</t>
  </si>
  <si>
    <t>HASHBBB222</t>
  </si>
  <si>
    <t>TrailerPack</t>
  </si>
  <si>
    <t>Q-0003</t>
  </si>
  <si>
    <t>UNKNOWN_FILE_88</t>
  </si>
  <si>
    <t>/Vol/Audio/_dump/UNKNOWN_FILE_88</t>
  </si>
  <si>
    <t>Q-0004</t>
  </si>
  <si>
    <t>NOIZYANTHROPIC_Snare_01.wav</t>
  </si>
  <si>
    <t>/Vol/Audio/NOIZYANTHROPIC/DrumKit_Vol1/NOIZYANTHROPIC_Snare_01.wav</t>
  </si>
  <si>
    <t>HASHCCC333</t>
  </si>
  <si>
    <t>SEARCH HUB — Wiki-Guided Query Builder</t>
  </si>
  <si>
    <t>Fill the yellow facet cells → ready-to-run search commands generate automatically below. Leave a facet blank to ignore it.</t>
  </si>
  <si>
    <t>1 ·  SEARCH FACETS</t>
  </si>
  <si>
    <t>Brand</t>
  </si>
  <si>
    <t>Category / Type</t>
  </si>
  <si>
    <t>Character / Tag</t>
  </si>
  <si>
    <t>Project / Product</t>
  </si>
  <si>
    <t>BPM min</t>
  </si>
  <si>
    <t>BPM max</t>
  </si>
  <si>
    <t>Extension / Format</t>
  </si>
  <si>
    <t>License</t>
  </si>
  <si>
    <t>Free-text keyword</t>
  </si>
  <si>
    <t>Search root path</t>
  </si>
  <si>
    <t>Kick</t>
  </si>
  <si>
    <t>Punchy</t>
  </si>
  <si>
    <t>/Volumes/Audio</t>
  </si>
  <si>
    <t>2 ·  GENERATED QUERIES  (copy → run)</t>
  </si>
  <si>
    <t>ripgrep</t>
  </si>
  <si>
    <t>regex pattern</t>
  </si>
  <si>
    <t>find</t>
  </si>
  <si>
    <t>DEVONsphere / DEVONthink</t>
  </si>
  <si>
    <t>SQL WHERE</t>
  </si>
  <si>
    <t>Soundminer / Basehead</t>
  </si>
  <si>
    <t>mdfind (Spotlight)</t>
  </si>
  <si>
    <t>3 ·  WIKI SEARCH RECIPES  (pre-built — copy the command)</t>
  </si>
  <si>
    <t>Recipe</t>
  </si>
  <si>
    <t>What it finds</t>
  </si>
  <si>
    <t>Ready-to-run command</t>
  </si>
  <si>
    <t>Orphans (no extension)</t>
  </si>
  <si>
    <t>Files with no ext needing magic-byte ID</t>
  </si>
  <si>
    <t>rg --files /Volumes/Audio | rg -v '\.'</t>
  </si>
  <si>
    <t>Cross-folder duplicates</t>
  </si>
  <si>
    <t>Byte-identical files in different folders</t>
  </si>
  <si>
    <t>fdupes -r /Volumes/Audio</t>
  </si>
  <si>
    <t>Brand masters</t>
  </si>
  <si>
    <t>All pristine files for one brand</t>
  </si>
  <si>
    <t>find /Volumes/Audio/Pristine/NOIZYANTHROPIC -type f</t>
  </si>
  <si>
    <t>Untagged audio</t>
  </si>
  <si>
    <t>Audio missing embedded metadata</t>
  </si>
  <si>
    <t>exiftool -if 'not $iXML' -r /Volumes/Audio</t>
  </si>
  <si>
    <t>Vendor catalog</t>
  </si>
  <si>
    <t>Every file under a vendor path</t>
  </si>
  <si>
    <t>find /Volumes/Audio -ipath '*Spitfire*'</t>
  </si>
  <si>
    <t>Corrupt WAVs</t>
  </si>
  <si>
    <t>Files failing a header/decode check</t>
  </si>
  <si>
    <t>for f in **/*.wav; do sox --i "$f" &gt;/dev/null 2&gt;&amp;1 || echo "$f"; done</t>
  </si>
  <si>
    <t>Recently modified</t>
  </si>
  <si>
    <t>New/changed files in last 7 days</t>
  </si>
  <si>
    <t>find /Volumes/Audio -type f -mtime -7</t>
  </si>
  <si>
    <t>Foley &amp; SFX</t>
  </si>
  <si>
    <t>Sound-effect content across brands</t>
  </si>
  <si>
    <t>rg -i -e foley -e sfx -e ambience /Volumes/Audio</t>
  </si>
  <si>
    <t>BPM-tagged loops</t>
  </si>
  <si>
    <t>Filenames carrying a BPM token</t>
  </si>
  <si>
    <t>rg -io '[0-9]{2,3} bpm' /Volumes/Audio</t>
  </si>
  <si>
    <t>Sampler patches</t>
  </si>
  <si>
    <t>Kontakt / EXS instrument files</t>
  </si>
  <si>
    <t>find /Volumes/Audio -iname '*.nki' -o -iname '*.exs'</t>
  </si>
  <si>
    <t>Zero-byte junk</t>
  </si>
  <si>
    <t>Empty files to purge</t>
  </si>
  <si>
    <t>find /Volumes/Audio -type f -size 0</t>
  </si>
  <si>
    <t>Data blobs among audio</t>
  </si>
  <si>
    <t>Sidecar/data files mixed in</t>
  </si>
  <si>
    <t>rg --files /Volumes/Audio | rg -i '\.(json|txt|xml|cue|md5)$'</t>
  </si>
  <si>
    <t>ROLL-UP (live)</t>
  </si>
  <si>
    <t>Total queued</t>
  </si>
  <si>
    <t>Unsorted / unknown</t>
  </si>
  <si>
    <t>Audio files</t>
  </si>
  <si>
    <t>Orphans (review)</t>
  </si>
  <si>
    <t>Duplicates</t>
  </si>
  <si>
    <t>Unique</t>
  </si>
  <si>
    <t>Total libraries</t>
  </si>
  <si>
    <t>Total size (GB)</t>
  </si>
  <si>
    <t>Total files</t>
  </si>
  <si>
    <t>Total tracked</t>
  </si>
  <si>
    <t>Rebuild needed</t>
  </si>
  <si>
    <t>Verified OK</t>
  </si>
  <si>
    <t>ID-029</t>
  </si>
  <si>
    <t>52 49 46 46 ... 57 41 56 45 (RIFF....WAVE)</t>
  </si>
  <si>
    <t>magic-bytes</t>
  </si>
  <si>
    <t>WAV / BWF audio</t>
  </si>
  <si>
    <t>Audio Signature</t>
  </si>
  <si>
    <t>Universal</t>
  </si>
  <si>
    <t>RIFF\x24\x08WAVE</t>
  </si>
  <si>
    <t>Bytes 0-3 'RIFF', bytes 8-11 'WAVE' = WAV. If 'bext' chunk present it is Broadcast WAV.</t>
  </si>
  <si>
    <t>Most common orphan-file recovery signature</t>
  </si>
  <si>
    <t>ID-030</t>
  </si>
  <si>
    <t>46 4F 52 4D ... 41 49 46 46 (FORM....AIFF)</t>
  </si>
  <si>
    <t>FORM\x00..AIFF</t>
  </si>
  <si>
    <t>Bytes 0-3 'FORM', bytes 8-11 'AIFF' (or 'AIFC' compressed).</t>
  </si>
  <si>
    <t>Apple/legacy sampler standard</t>
  </si>
  <si>
    <t>ID-031</t>
  </si>
  <si>
    <t>FLAC lossless</t>
  </si>
  <si>
    <t>First 4 bytes 'fLaC' = FLAC lossless audio.</t>
  </si>
  <si>
    <t>Common in archived masters</t>
  </si>
  <si>
    <t>ID-032</t>
  </si>
  <si>
    <t>Ogg Vorbis/Opus</t>
  </si>
  <si>
    <t>OggS' = Ogg container (Vorbis or Opus codec inside).</t>
  </si>
  <si>
    <t>Game-audio common</t>
  </si>
  <si>
    <t>ID-033</t>
  </si>
  <si>
    <t>49 44 33 (ID3) or FF FB</t>
  </si>
  <si>
    <t>ID3\x03 or \xFF\xFB</t>
  </si>
  <si>
    <t>ID3' = MP3 with ID3v2 tag; 0xFFFB = raw MP3 frame sync.</t>
  </si>
  <si>
    <t>Lossy — flag for re-source</t>
  </si>
  <si>
    <t>ID-034</t>
  </si>
  <si>
    <t>Apple CAF</t>
  </si>
  <si>
    <t>Apple</t>
  </si>
  <si>
    <t>caff' = Core Audio Format (Logic/Apple high-res).</t>
  </si>
  <si>
    <t>Often &gt;4GB stems</t>
  </si>
  <si>
    <t>ID-035</t>
  </si>
  <si>
    <t>52 46 36 34 (RF64)</t>
  </si>
  <si>
    <t>RF64 &gt;4GB WAV</t>
  </si>
  <si>
    <t>Broadcast</t>
  </si>
  <si>
    <t>RF64</t>
  </si>
  <si>
    <t>RF64' = 64-bit WAV variant for files over 4GB.</t>
  </si>
  <si>
    <t>Long-form field recordings</t>
  </si>
  <si>
    <t>ID-036</t>
  </si>
  <si>
    <t>44 53 44 20 (DSD ) / 46 52 4D 38 (FRM8)</t>
  </si>
  <si>
    <t>DSD / DSF / DFF</t>
  </si>
  <si>
    <t>Hi-Res</t>
  </si>
  <si>
    <t>DSD\x20 or FRM8</t>
  </si>
  <si>
    <t>DSD ' = DSF, 'FRM8' = DFF — 1-bit DSD high-res audio.</t>
  </si>
  <si>
    <t>Rare, audiophile masters</t>
  </si>
  <si>
    <t>ID-037</t>
  </si>
  <si>
    <t>77 76 70 6B (wvpk)</t>
  </si>
  <si>
    <t>WavPack lossless</t>
  </si>
  <si>
    <t>wvpk</t>
  </si>
  <si>
    <t>wvpk' = WavPack hybrid lossless.</t>
  </si>
  <si>
    <t>Uncommon</t>
  </si>
  <si>
    <t>ID-038</t>
  </si>
  <si>
    <t>66 74 79 70 (ftyp...M4A)</t>
  </si>
  <si>
    <t>M4A / AAC / ALAC</t>
  </si>
  <si>
    <t>\x00\x00\x00 ftypM4A</t>
  </si>
  <si>
    <t>Bytes 4-7 'ftyp' then 'M4A ' = AAC/ALAC in MP4 container.</t>
  </si>
  <si>
    <t>Check codec: ALAC=lossless, AAC=lossy</t>
  </si>
  <si>
    <t>ID-039</t>
  </si>
  <si>
    <t>.nki .nkm .nkx .nkr / 'hsin'</t>
  </si>
  <si>
    <t>extension+magic</t>
  </si>
  <si>
    <t>Native Instruments Kontakt</t>
  </si>
  <si>
    <t>Sampler Patch</t>
  </si>
  <si>
    <t>Strings_Legato.nki</t>
  </si>
  <si>
    <t>Kontakt instrument (.nki), multi (.nkm), monolith (.nkx). Header often 'hsin'. Needs source samples.</t>
  </si>
  <si>
    <t>Patch references external WAVs — keep together</t>
  </si>
  <si>
    <t>ID-040</t>
  </si>
  <si>
    <t>Logic EXS24 / Sampler</t>
  </si>
  <si>
    <t>Apple Logic</t>
  </si>
  <si>
    <t>Piano.exs</t>
  </si>
  <si>
    <t>EXS24/Sampler instrument. Points to audio in /Sampler Instruments/.</t>
  </si>
  <si>
    <t>Mac path-sensitive</t>
  </si>
  <si>
    <t>ID-041</t>
  </si>
  <si>
    <t>.sfz (text 'region=' '&lt;group&gt;')</t>
  </si>
  <si>
    <t>extension+content</t>
  </si>
  <si>
    <t>SFZ open sampler</t>
  </si>
  <si>
    <t>Open Format</t>
  </si>
  <si>
    <t>Choir.sfz</t>
  </si>
  <si>
    <t>Plain-text SFZ; grep for '&lt;region&gt;' '&lt;group&gt;' 'sample='. Maps to WAVs.</t>
  </si>
  <si>
    <t>Human-readable — easy to re-path</t>
  </si>
  <si>
    <t>ID-042</t>
  </si>
  <si>
    <t>RIFF...sfbk (.sf2)</t>
  </si>
  <si>
    <t>SoundFont 2</t>
  </si>
  <si>
    <t>GM.sf2</t>
  </si>
  <si>
    <t>RIFF container with 'sfbk' = SoundFont. Samples embedded inside.</t>
  </si>
  <si>
    <t>Self-contained</t>
  </si>
  <si>
    <t>ID-043</t>
  </si>
  <si>
    <t>.dspreset (XML)</t>
  </si>
  <si>
    <t>Decent Sampler</t>
  </si>
  <si>
    <t>Decent Samples</t>
  </si>
  <si>
    <t>Guitar.dspreset</t>
  </si>
  <si>
    <t>XML preset; grep '&lt;sample path=' to find referenced audio.</t>
  </si>
  <si>
    <t>Free format, growing catalog</t>
  </si>
  <si>
    <t>ID-044</t>
  </si>
  <si>
    <t>.adg .adv .alp (gzip XML)</t>
  </si>
  <si>
    <t>Ableton device/pack</t>
  </si>
  <si>
    <t>DAW Preset</t>
  </si>
  <si>
    <t>Ableton Live</t>
  </si>
  <si>
    <t>Bass.adg</t>
  </si>
  <si>
    <t>Gzip-compressed XML (1F 8B header). Decompress then grep SampleRef.</t>
  </si>
  <si>
    <t>Ableton ecosystem</t>
  </si>
  <si>
    <t>ID-045</t>
  </si>
  <si>
    <t>.als (gzip) / .flp (FLhd) / .rpp (text) / .ptx</t>
  </si>
  <si>
    <t>DAW project file</t>
  </si>
  <si>
    <t>Project</t>
  </si>
  <si>
    <t>Multi-DAW</t>
  </si>
  <si>
    <t>MySong.als</t>
  </si>
  <si>
    <t>Project files: .als Ableton(gzip), .flp FL(FLhd), .rpp Reaper(text), .ptx ProTools, .cpr Cubase, .song Studio One. Group by project.</t>
  </si>
  <si>
    <t>KEY for product/project grouping</t>
  </si>
  <si>
    <t>ID-046</t>
  </si>
  <si>
    <t>iXML' chunk</t>
  </si>
  <si>
    <t>embedded-chunk</t>
  </si>
  <si>
    <t>iXML metadata</t>
  </si>
  <si>
    <t>Embedded Metadata</t>
  </si>
  <si>
    <t>Broadcast/SFX</t>
  </si>
  <si>
    <t>&lt;BWFXML&gt;&lt;PROJECT&gt;</t>
  </si>
  <si>
    <t>iXML chunk holds project, scene, take, notes. exiftool/sox extract. Rich naming source.</t>
  </si>
  <si>
    <t>Pro SFX libraries embed this</t>
  </si>
  <si>
    <t>ID-047</t>
  </si>
  <si>
    <t>bext' chunk</t>
  </si>
  <si>
    <t>bext...Description</t>
  </si>
  <si>
    <t>BWF 'bext' chunk: description, originator, date, timecode. Primary hint source for orphans.</t>
  </si>
  <si>
    <t>Recover original name from here</t>
  </si>
  <si>
    <t>ID-048</t>
  </si>
  <si>
    <t>acid' chunk / 'smpl' chunk</t>
  </si>
  <si>
    <t>Tempo/key &amp; loop points</t>
  </si>
  <si>
    <t>Loops</t>
  </si>
  <si>
    <t>acid: 120.0 BPM Amin</t>
  </si>
  <si>
    <t>ACID chunk = tempo/key/loop flag; 'smpl' chunk = loop start/end points. Confirms loop vs one-shot.</t>
  </si>
  <si>
    <t>Auto-fills BPM/Key/Loop columns</t>
  </si>
  <si>
    <t>ID-049</t>
  </si>
  <si>
    <t>ID3: TBPM / TKEY / TIT2 / TPE1</t>
  </si>
  <si>
    <t>embedded-tag</t>
  </si>
  <si>
    <t>ID3v2 frames</t>
  </si>
  <si>
    <t>MP3/AAC</t>
  </si>
  <si>
    <t>TBPM=128</t>
  </si>
  <si>
    <t>ID3v2 frames: TIT2 title, TPE1 artist, TBPM bpm, TKEY key, TCON genre. Map to catalog columns.</t>
  </si>
  <si>
    <t>Lossy-format metadata</t>
  </si>
  <si>
    <t>ID-050</t>
  </si>
  <si>
    <t>[0-9]{2,3} ?bpm  (regex)</t>
  </si>
  <si>
    <t>Tempo in filename</t>
  </si>
  <si>
    <t>Naming Token</t>
  </si>
  <si>
    <t>Loop_128bpm_Cmin.wav</t>
  </si>
  <si>
    <t>Regex '[0-9]{2,3} ?bpm' (case-insensitive) extracts tempo. Populate BPM column.</t>
  </si>
  <si>
    <t>Combine with key token</t>
  </si>
  <si>
    <t>ID-051</t>
  </si>
  <si>
    <t>\b([A-G]#?b?)(maj|min|m)?\b (regex)</t>
  </si>
  <si>
    <t>Musical key in filename</t>
  </si>
  <si>
    <t>Loops/Melodics</t>
  </si>
  <si>
    <t>Pluck_Cmin.wav</t>
  </si>
  <si>
    <t>Regex for root + maj/min. Watch false positives (single letters). Populate Key column.</t>
  </si>
  <si>
    <t>Lower confidence — verify</t>
  </si>
  <si>
    <t>ID-052</t>
  </si>
  <si>
    <t>RR[0-9]+ | _rr[0-9]+ | round.?robin</t>
  </si>
  <si>
    <t>Round-robin variation</t>
  </si>
  <si>
    <t>Multisamples</t>
  </si>
  <si>
    <t>Snare_RR3.wav</t>
  </si>
  <si>
    <t>Round-robin index. Multiple RR = multisample set. Group by base name.</t>
  </si>
  <si>
    <t>Count for RR Count column</t>
  </si>
  <si>
    <t>ID-053</t>
  </si>
  <si>
    <t>vel[0-9]+ | _v[0-9]{1,3} | [pf]{1,3}\b</t>
  </si>
  <si>
    <t>Velocity layer</t>
  </si>
  <si>
    <t>Piano_C3_vel96.wav</t>
  </si>
  <si>
    <t>Velocity layer index or dynamic marking (pp/p/mf/f/ff). Group for Vel Layers column.</t>
  </si>
  <si>
    <t>Dynamics naming varies</t>
  </si>
  <si>
    <t>ID-054</t>
  </si>
  <si>
    <t>Close|Room|Amb|Far|Spot|Decca|Mid|Side</t>
  </si>
  <si>
    <t>keyword</t>
  </si>
  <si>
    <t>Mic position</t>
  </si>
  <si>
    <t>Violins_Legato_Close.wav</t>
  </si>
  <si>
    <t>Mic perspective in orchestral libs. Same note + diff mic = mic-merge group, not duplicate.</t>
  </si>
  <si>
    <t>Prevents false dup flags</t>
  </si>
  <si>
    <t>ID-055</t>
  </si>
  <si>
    <t>legato|stacc|pizz|spicc|trem|sus|marc|trill</t>
  </si>
  <si>
    <t>Articulation</t>
  </si>
  <si>
    <t>Cello_pizzicato.wav</t>
  </si>
  <si>
    <t>Playing articulation. Tag into Character/Sub-Category. Key for orchestral organization.</t>
  </si>
  <si>
    <t>Maps to articulation tags</t>
  </si>
  <si>
    <t>ID-056</t>
  </si>
  <si>
    <t>/Loops/ /OneShots/ /MIDI/ /Presets/ /Stems/</t>
  </si>
  <si>
    <t>Content-type folder</t>
  </si>
  <si>
    <t>Path Token</t>
  </si>
  <si>
    <t>.../Loops/Drums/...</t>
  </si>
  <si>
    <t>Folder name signals content type. /Loops/=Loop, /OneShots/=One-Shot, /MIDI/=MIDI, /Stems/=Stem.</t>
  </si>
  <si>
    <t>Strong type classifier</t>
  </si>
  <si>
    <t>ID-057</t>
  </si>
  <si>
    <t>.DS_Store Thumbs.db desktop.ini __MACOSX</t>
  </si>
  <si>
    <t>exact</t>
  </si>
  <si>
    <t>OS junk — EXCLUDE</t>
  </si>
  <si>
    <t>Exclusion</t>
  </si>
  <si>
    <t>System</t>
  </si>
  <si>
    <t>.DS_Store</t>
  </si>
  <si>
    <t>Operating-system metadata junk. Always exclude from scan &amp; purge. Never catalog.</t>
  </si>
  <si>
    <t>Add to ignore list</t>
  </si>
  <si>
    <t>ID-058</t>
  </si>
  <si>
    <t>.asd .reapeaks .pkf .ovw (waveform cache)</t>
  </si>
  <si>
    <t>DAW peak cache — EXCLUDE</t>
  </si>
  <si>
    <t>DAW</t>
  </si>
  <si>
    <t>Kick.wav.asd</t>
  </si>
  <si>
    <t>Auto-generated waveform overview caches (Ableton .asd, Reaper .reapeaks, PT .pkf). Disposable.</t>
  </si>
  <si>
    <t>Regenerated automatically</t>
  </si>
  <si>
    <t>ID-059</t>
  </si>
  <si>
    <t>size == 0 bytes</t>
  </si>
  <si>
    <t>size</t>
  </si>
  <si>
    <t>Zero-byte file — EXCLUDE</t>
  </si>
  <si>
    <t>empty.wav (0 B)</t>
  </si>
  <si>
    <t>Empty/zero-byte files are corrupt or placeholders. Flag for purge, never distribute.</t>
  </si>
  <si>
    <t>find -size 0</t>
  </si>
  <si>
    <t>ID-060</t>
  </si>
  <si>
    <t>\.(json|xml|txt|cue|md5|nfo|log)$</t>
  </si>
  <si>
    <t>Sidecar / data file</t>
  </si>
  <si>
    <t>Data Companion</t>
  </si>
  <si>
    <t>library_manifest.json</t>
  </si>
  <si>
    <t>Non-audio companion data. Keep WITH its audio (manifests, cue sheets, checksums) but classify separately.</t>
  </si>
  <si>
    <t>Link to parent, do not distribute as audio</t>
  </si>
  <si>
    <t>MC96 ECOUNIVERSE — CONTROL CENTER</t>
  </si>
  <si>
    <t>Live roll-up across all catalog sheets · figures update as the Scan Queue fills</t>
  </si>
  <si>
    <t>SCAN QUEUE / PIPELINE</t>
  </si>
  <si>
    <t>Files Queued</t>
  </si>
  <si>
    <t>Audio Files</t>
  </si>
  <si>
    <t>Orphans to Review</t>
  </si>
  <si>
    <t>BY BRAND</t>
  </si>
  <si>
    <t>Unsorted</t>
  </si>
  <si>
    <t>LIBRARY INVENTORY</t>
  </si>
  <si>
    <t>Total Libraries</t>
  </si>
  <si>
    <t>INTEGRITY &amp; DEDUP</t>
  </si>
  <si>
    <t>Files Tracked</t>
  </si>
  <si>
    <t>Rebuild Needed</t>
  </si>
  <si>
    <t>STORAGE / DISTRIBUTION</t>
  </si>
  <si>
    <t>ROLL-UP</t>
  </si>
  <si>
    <t>Total GB</t>
  </si>
  <si>
    <t>Total Files</t>
  </si>
  <si>
    <t>RIGHTS &amp; LICENSING REGISTER</t>
  </si>
  <si>
    <t>Clearance &amp; usage rights per library / brand — the legal backbone for commercial release, resale, and redistribution</t>
  </si>
  <si>
    <t>Rights ID</t>
  </si>
  <si>
    <t>Asset / Lib ID</t>
  </si>
  <si>
    <t>Asset / Library Name</t>
  </si>
  <si>
    <t>Rights Holder</t>
  </si>
  <si>
    <t>Commercial Use?</t>
  </si>
  <si>
    <t>Redistribute?</t>
  </si>
  <si>
    <t>Resale?</t>
  </si>
  <si>
    <t>Attribution?</t>
  </si>
  <si>
    <t>Exclusive?</t>
  </si>
  <si>
    <t>Territory</t>
  </si>
  <si>
    <t>Term</t>
  </si>
  <si>
    <t>Royalty / Fee</t>
  </si>
  <si>
    <t>Clearance Status</t>
  </si>
  <si>
    <t>Contract / Doc Ref</t>
  </si>
  <si>
    <t>Acquired From</t>
  </si>
  <si>
    <t>RT-001</t>
  </si>
  <si>
    <t>NOIZYANTHROPIC (house brand)</t>
  </si>
  <si>
    <t>Proprietary / Owned</t>
  </si>
  <si>
    <t>Worldwide</t>
  </si>
  <si>
    <t>Perpetual</t>
  </si>
  <si>
    <t>Cleared</t>
  </si>
  <si>
    <t>Internal / self-produced</t>
  </si>
  <si>
    <t>In-house</t>
  </si>
  <si>
    <t>Full ownership — all rights reserved, freely sellable</t>
  </si>
  <si>
    <t>RT-002</t>
  </si>
  <si>
    <t>NOIZYBEAST (house brand)</t>
  </si>
  <si>
    <t>RT-003</t>
  </si>
  <si>
    <t>METABEAST (house brand)</t>
  </si>
  <si>
    <t>RT-010</t>
  </si>
  <si>
    <t>Spitfire Albion ONE</t>
  </si>
  <si>
    <t>Commercial EULA</t>
  </si>
  <si>
    <t>Paid (one-time)</t>
  </si>
  <si>
    <t>Spitfire EULA</t>
  </si>
  <si>
    <t>Use in productions OK; sample resale/redistribution PROHIBITED</t>
  </si>
  <si>
    <t>RT-011</t>
  </si>
  <si>
    <t>BOOM RF License</t>
  </si>
  <si>
    <t>Royalty-free in productions; cannot be redistributed as samples</t>
  </si>
  <si>
    <t>RT-012</t>
  </si>
  <si>
    <t>Splice Sounds</t>
  </si>
  <si>
    <t>While subscribed</t>
  </si>
  <si>
    <t>Monthly sub</t>
  </si>
  <si>
    <t>Conditional</t>
  </si>
  <si>
    <t>Splice ToS</t>
  </si>
  <si>
    <t>ongoing</t>
  </si>
  <si>
    <t>Downloaded sounds stay licensed; verify active sub for new content</t>
  </si>
  <si>
    <t>RT-013</t>
  </si>
  <si>
    <t>Cymatics Premium</t>
  </si>
  <si>
    <t>Paid / free packs</t>
  </si>
  <si>
    <t>Cymatics License</t>
  </si>
  <si>
    <t>RF in productions; no resale of raw samples</t>
  </si>
  <si>
    <t>RT-014</t>
  </si>
  <si>
    <t>LIB-100</t>
  </si>
  <si>
    <t>Client Project (work-for-hire)</t>
  </si>
  <si>
    <t>Work-for-Hire</t>
  </si>
  <si>
    <t>Client (per contract)</t>
  </si>
  <si>
    <t>Per contract</t>
  </si>
  <si>
    <t>Project fee</t>
  </si>
  <si>
    <t>Restricted</t>
  </si>
  <si>
    <t>Client MSA / SOW</t>
  </si>
  <si>
    <t>varies</t>
  </si>
  <si>
    <t>Ownership may transfer to client — confirm before reuse in brand catalog</t>
  </si>
  <si>
    <t>RULE: House brands (NOIZYANTHROPIC / NOIZYBEAST / METABEAST) = full ownership, freely sellable. Licensed/RF/Subscription content = usable in productions but NEVER resold or redistributed as raw samples. Work-for-hire may belong to the client.</t>
  </si>
  <si>
    <t>MC96 ECOUNIVERSE — SYSTEM WIKI</t>
  </si>
  <si>
    <t>The operating manual for this catalog &amp; distribution workbook. Start here.</t>
  </si>
  <si>
    <t>1 · WHAT THIS IS</t>
  </si>
  <si>
    <t>A single-source brain that catalogs every audio asset across NOIZYANTHROPIC, NOIZYBEAST &amp; METABEAST (plus client work), routes each file to a pristine destination, tracks integrity &amp; duplicates, records usage rights, and generates ready-to-run search commands. The workbook does NOT touch your drives — your scanner (Desktop Commander), SuperSonic IDE, LM Studio, TagSpaces &amp; the DEVON suite do the file I/O; this workbook is the index, the router and the audit trail.</t>
  </si>
  <si>
    <t>2 · SHEET DIRECTORY</t>
  </si>
  <si>
    <t>Sheet</t>
  </si>
  <si>
    <t>Purpose</t>
  </si>
  <si>
    <t>Key columns / features</t>
  </si>
  <si>
    <t>Dashboard</t>
  </si>
  <si>
    <t>Control-center cockpit — live KPI cards</t>
  </si>
  <si>
    <t>Pipeline, by-brand, library, integrity &amp; storage roll-ups (pull single cells cross-sheet)</t>
  </si>
  <si>
    <t>Scan Queue</t>
  </si>
  <si>
    <t>Landing zone — paste scanner output here</t>
  </si>
  <si>
    <t>Paste A-G; auto-classify brand/dest/dup/project in H-P via same-row formulas</t>
  </si>
  <si>
    <t>Library Index</t>
  </si>
  <si>
    <t>Master inventory — one row per library</t>
  </si>
  <si>
    <t>20 starter libs; roll-up helpers in AA col feed the Dashboard</t>
  </si>
  <si>
    <t>Samples</t>
  </si>
  <si>
    <t>Per-file catalog (granular)</t>
  </si>
  <si>
    <t>41 cols incl orphan-detection (Has Ext?, magic bytes) + LLM hint cols</t>
  </si>
  <si>
    <t>Processing</t>
  </si>
  <si>
    <t>10-stage pipeline tracker</t>
  </si>
  <si>
    <t>Stage checkboxes, tool/model used, % complete</t>
  </si>
  <si>
    <t>Integrity</t>
  </si>
  <si>
    <t>Hash, dedup &amp; rebuild tracking</t>
  </si>
  <si>
    <t>SHA256, duplicate-of, corrupt/rebuild flags</t>
  </si>
  <si>
    <t>Distribution</t>
  </si>
  <si>
    <t>Target drives &amp; capacity</t>
  </si>
  <si>
    <t>Free/used formulas, redundancy, per-brand destinations</t>
  </si>
  <si>
    <t>Brands</t>
  </si>
  <si>
    <t>Brand &amp; client registry</t>
  </si>
  <si>
    <t>Grep patterns, prefixes, claim priority, destinations</t>
  </si>
  <si>
    <t>Identifiers</t>
  </si>
  <si>
    <t>Grep / signature pattern library (60 patterns)</t>
  </si>
  <si>
    <t>Magic bytes, formats, metadata chunks, naming tokens, exclusions — feeds LM Studio</t>
  </si>
  <si>
    <t>Tags</t>
  </si>
  <si>
    <t>Tag taxonomy</t>
  </si>
  <si>
    <t>TagSpaces slugs + DEVONthink labels per tag</t>
  </si>
  <si>
    <t>Vendors</t>
  </si>
  <si>
    <t>Commercial vendor reference</t>
  </si>
  <si>
    <t>Path/filename signatures, DRM type</t>
  </si>
  <si>
    <t>Rights &amp; Licensing</t>
  </si>
  <si>
    <t>Usage-rights register</t>
  </si>
  <si>
    <t>Commercial/resale/redistribute flags, clearance status</t>
  </si>
  <si>
    <t>Search Hub</t>
  </si>
  <si>
    <t>Guided faceted search builder</t>
  </si>
  <si>
    <t>Pick facets → generates ripgrep/regex/find/DEVONsphere/SQL/mdfind + 12 recipes</t>
  </si>
  <si>
    <t>System Wiki</t>
  </si>
  <si>
    <t>This manual</t>
  </si>
  <si>
    <t>Directory, pipeline, tool chain, conventions, gotchas</t>
  </si>
  <si>
    <t>3 · THE PIPELINE (10 STAGES)</t>
  </si>
  <si>
    <t>What happens</t>
  </si>
  <si>
    <t>Tool</t>
  </si>
  <si>
    <t>1 Discover</t>
  </si>
  <si>
    <t>Walk drives, list every file (incl extensionless)</t>
  </si>
  <si>
    <t>2 Scan</t>
  </si>
  <si>
    <t>Read size, dates, extension; paste into Scan Queue</t>
  </si>
  <si>
    <t>3 Magic Bytes</t>
  </si>
  <si>
    <t>Identify orphan/extensionless files by signature</t>
  </si>
  <si>
    <t>Identifiers sheet + file/hexdump</t>
  </si>
  <si>
    <t>4 LLM Name</t>
  </si>
  <si>
    <t>Suggest a human name + brand from path/content</t>
  </si>
  <si>
    <t>LM Studio (local model)</t>
  </si>
  <si>
    <t>5 Tag</t>
  </si>
  <si>
    <t>Apply taxonomy tags (instrument/character/etc.)</t>
  </si>
  <si>
    <t>TagSpaces + Tags sheet</t>
  </si>
  <si>
    <t>6 Clean / Rebuild</t>
  </si>
  <si>
    <t>Repair headers, re-encode, normalize</t>
  </si>
  <si>
    <t>SuperSonic IDE</t>
  </si>
  <si>
    <t>7 Pristine Move</t>
  </si>
  <si>
    <t>Copy verified file to /Pristine/&lt;brand&gt;/</t>
  </si>
  <si>
    <t>Desktop Commander + Distribution sheet</t>
  </si>
  <si>
    <t>8 Index</t>
  </si>
  <si>
    <t>Add to knowledge base &amp; full-text index</t>
  </si>
  <si>
    <t>DEVONthink / DEVONsphere</t>
  </si>
  <si>
    <t>9 Cross-tag</t>
  </si>
  <si>
    <t>Sync tags across systems</t>
  </si>
  <si>
    <t>TagSpaces ↔ DEVONthink</t>
  </si>
  <si>
    <t>10 Publish</t>
  </si>
  <si>
    <t>Make searchable in the working library</t>
  </si>
  <si>
    <t>Soundly / Soundminer</t>
  </si>
  <si>
    <t>4 · TOOL CHAIN</t>
  </si>
  <si>
    <t>Desktop Commander = file I/O (walk, hash, move).  SuperSonic IDE = audio clean/repair/learn.  LM Studio = local LLM for naming &amp; classification.  TagSpaces = portable file tagging.  DEVONthink/DEVONagent Pro/DEVONsphere = index, research, semantic search.  Soundly/Soundminer = working sound library + metadata search.  This workbook ties them together with shared IDs, grep patterns and destinations.</t>
  </si>
  <si>
    <t>5 · CONVENTIONS</t>
  </si>
  <si>
    <t>ID schemes</t>
  </si>
  <si>
    <t>LIB-### libraries · SMP-###### samples · INT-###### integrity · RT-### rights · BR-### brands · DST-### destinations · ID-### identifiers · Q-#### scan-queue</t>
  </si>
  <si>
    <t>Brand codes</t>
  </si>
  <si>
    <t>NOIZYANTHROPIC (NA_, priority 1) · NOIZYBEAST (NB_, priority 2) · METABEAST (MB_, priority 3). METABEAST is matched before BEAST so it never misfiles as NOIZYBEAST.</t>
  </si>
  <si>
    <t>Destinations</t>
  </si>
  <si>
    <t>/Pristine/&lt;brand&gt;/ for claimed files · /Pristine/_UNSORTED/ for unknowns awaiting review</t>
  </si>
  <si>
    <t>Color coding</t>
  </si>
  <si>
    <t>Yellow = input cell you edit · Green header = paste/raw scanner data · Red = orphan / restricted / duplicate · Amber = needs review / conditional · Navy/blue = computed or reference</t>
  </si>
  <si>
    <t>High = exact brand/format match · Low = loose variant or prefix only (route to LLM review)</t>
  </si>
  <si>
    <t>6 · GOTCHAS &amp; RULES (READ BEFORE EDITING STRUCTURE)</t>
  </si>
  <si>
    <t>NEVER RENAME A SHEET</t>
  </si>
  <si>
    <t>On this Excel-for-Mac build, renaming a worksheet permanently breaks every cross-sheet formula that points at it (returns #REF!). Always create a sheet with its FINAL name. This is why the library tab is called 'Library Index', not 'Libraries' — the name 'Libraries' is permanently poisoned by an un-deletable hidden ghost sheet.</t>
  </si>
  <si>
    <t>NO cross-sheet COUNTIF</t>
  </si>
  <si>
    <t>COUNTIF / SUMPRODUCT / VLOOKUP across sheets fail here. Workaround in use: compute counts ON the source sheet (same-sheet COUNTIF works) in a helper column, then the Dashboard pulls that single result cell (single-cell cross-sheet refs DO work).</t>
  </si>
  <si>
    <t>Same-row formulas are safe</t>
  </si>
  <si>
    <t>Scan Queue brand/dest/type detection uses same-row SEARCH — 100% reliable. Dedup &amp; project counts use same-sheet COUNTIF — also reliable.</t>
  </si>
  <si>
    <t>Hidden ghost sheets</t>
  </si>
  <si>
    <t>Libraries_OLD, Catalog, Library Catalog are broken, un-deletable remnants — left hidden (veryHidden). Ignore them; do not unhide or reference them.</t>
  </si>
  <si>
    <t>Manual steps</t>
  </si>
  <si>
    <t>Freeze panes occasionally needs doing by hand (View &gt; Freeze Panes). The Project column on Scan Queue is a manual/LLM input, not a formula.</t>
  </si>
  <si>
    <t>2026 PLOWMAN STANDARD — NOIZYARMY NAMING &amp; INTEGRITY CONVENTION</t>
  </si>
  <si>
    <t>The permanent, trackable filename law for every pristine asset. Generate compliant names below — copy the result onto the file.</t>
  </si>
  <si>
    <t>1 · THE TEMPLATE</t>
  </si>
  <si>
    <t>BRAND_PROJECT_CATEGORY_DESCRIPTOR_KEY_BPM_VARIANT_QGRADE_vVERSION.ext</t>
  </si>
  <si>
    <t>Example:</t>
  </si>
  <si>
    <t>NA_DrumKitVol1_KICK_Punchy_Cmin_128_RR01_QA_v2.wav</t>
  </si>
  <si>
    <t>2 · TOKEN DICTIONARY</t>
  </si>
  <si>
    <t>#</t>
  </si>
  <si>
    <t>Token</t>
  </si>
  <si>
    <t>Required</t>
  </si>
  <si>
    <t>Format Rule</t>
  </si>
  <si>
    <t>Allowed Values / Examples</t>
  </si>
  <si>
    <t>BRAND</t>
  </si>
  <si>
    <t>YES</t>
  </si>
  <si>
    <t>2-4 char UPPER code</t>
  </si>
  <si>
    <t>NA / NB / MB / client code (GAB, LUC)</t>
  </si>
  <si>
    <t>PROJECT</t>
  </si>
  <si>
    <t>PascalCase, no spaces</t>
  </si>
  <si>
    <t>DrumKitVol1, TrailerPack, VibeCode</t>
  </si>
  <si>
    <t>CATEGORY</t>
  </si>
  <si>
    <t>UPPER, from Tags sheet</t>
  </si>
  <si>
    <t>KICK / SNARE / VOX / FX / FOLEY / PAD</t>
  </si>
  <si>
    <t>DESCRIPTOR</t>
  </si>
  <si>
    <t>rec.</t>
  </si>
  <si>
    <t>PascalCase character tag</t>
  </si>
  <si>
    <t>Punchy / Dark / Bright / LoFi / Cinematic</t>
  </si>
  <si>
    <t>KEY</t>
  </si>
  <si>
    <t>if tonal</t>
  </si>
  <si>
    <t>Note+maj/min</t>
  </si>
  <si>
    <t>Cmin / F#maj / Amaj</t>
  </si>
  <si>
    <t>if rhythmic</t>
  </si>
  <si>
    <t>2-3 digits</t>
  </si>
  <si>
    <t>90 / 128 / 174</t>
  </si>
  <si>
    <t>VARIANT</t>
  </si>
  <si>
    <t>opt.</t>
  </si>
  <si>
    <t>RR##/Vel##/Mic</t>
  </si>
  <si>
    <t>RR01 / Vel80 / MicClose / Amb</t>
  </si>
  <si>
    <t>QGRADE</t>
  </si>
  <si>
    <t>Q + A/B/C/X</t>
  </si>
  <si>
    <t>QA=pristine, QB=good, QC=usable, QX=needs rebuild</t>
  </si>
  <si>
    <t>VERSION</t>
  </si>
  <si>
    <t>v + integer</t>
  </si>
  <si>
    <t>v1 / v2 / v3</t>
  </si>
  <si>
    <t>3 · LIVE FILENAME GENERATOR</t>
  </si>
  <si>
    <t>Brand code</t>
  </si>
  <si>
    <t>NA</t>
  </si>
  <si>
    <t>DrumKitVol1</t>
  </si>
  <si>
    <t>KICK</t>
  </si>
  <si>
    <t>Descriptor</t>
  </si>
  <si>
    <t>Cmin</t>
  </si>
  <si>
    <t>Variant</t>
  </si>
  <si>
    <t>RR01</t>
  </si>
  <si>
    <t>Q-Grade</t>
  </si>
  <si>
    <t>QA</t>
  </si>
  <si>
    <t>GENERATED FILENAME →</t>
  </si>
  <si>
    <t>4 · INTEGRITY STAMP</t>
  </si>
  <si>
    <t>a3f5e9c1b7d2840f6e1a9c3b5d7f2048</t>
  </si>
  <si>
    <t>Verified date</t>
  </si>
  <si>
    <t>Learned by (model)</t>
  </si>
  <si>
    <t>LMStudio-Qwen2.5-72B</t>
  </si>
  <si>
    <t>INTEGRITY STAMP →</t>
  </si>
  <si>
    <t>5 · THE LAW (RULES)</t>
  </si>
  <si>
    <t>1. Underscores _ separate tokens. NEVER use spaces. Dots only before the extension.</t>
  </si>
  <si>
    <t>2. BRAND and CATEGORY are ALWAYS UPPERCASE. PROJECT and DESCRIPTOR are PascalCase.</t>
  </si>
  <si>
    <t>3. Allowed characters: A-Z a-z 0-9 underscore. The integrity stamp may also use # : | . and …</t>
  </si>
  <si>
    <t>4. Q-Grade reflects SuperSonic-learned quality (QA pristine → QX needs rebuild). Re-grade after every clean pass.</t>
  </si>
  <si>
    <t>5. Version bumps on EVERY edit. The highest v in a group is the pristine master; lower versions archive.</t>
  </si>
  <si>
    <t>6. Every pristine file carries the integrity stamp — as a sidecar .txt or embedded BWF/iXML comment.</t>
  </si>
  <si>
    <t>7. Filename + stamp together make every asset self-describing, greppable, and audit-proof forever.</t>
  </si>
  <si>
    <t>BR-101</t>
  </si>
  <si>
    <t>Gabriel</t>
  </si>
  <si>
    <t>Collaborator</t>
  </si>
  <si>
    <t>gabriel | gab_ | gbrl | GAB_</t>
  </si>
  <si>
    <t>GAB_</t>
  </si>
  <si>
    <t>Vibe Code sessions, co-productions</t>
  </si>
  <si>
    <t>/Pristine/_Collaborators/Gabriel/</t>
  </si>
  <si>
    <t>#0F9D8C</t>
  </si>
  <si>
    <t>Genius collaborator — grep all sessions &amp; stems for credit + grouping</t>
  </si>
  <si>
    <t>BR-102</t>
  </si>
  <si>
    <t>Lucy</t>
  </si>
  <si>
    <t>lucy | lcy | LUCY_</t>
  </si>
  <si>
    <t>LUCY_</t>
  </si>
  <si>
    <t>/Pristine/_Collaborators/Lucy/</t>
  </si>
  <si>
    <t>#E84B8A</t>
  </si>
  <si>
    <t>BR-103</t>
  </si>
  <si>
    <t>Vibe Code</t>
  </si>
  <si>
    <t>Signature / Project</t>
  </si>
  <si>
    <t>VibeCode</t>
  </si>
  <si>
    <t>vibe[-_ ]?code | vibecode | VC_</t>
  </si>
  <si>
    <t>VC_</t>
  </si>
  <si>
    <t>Gabriel + Lucy genius sessions</t>
  </si>
  <si>
    <t>/Pristine/_VibeCode/</t>
  </si>
  <si>
    <t>#E6B400</t>
  </si>
  <si>
    <t>The signature sound — catch every variant spelling across all drives</t>
  </si>
  <si>
    <t>ID-061</t>
  </si>
  <si>
    <t>contains</t>
  </si>
  <si>
    <t>Gabriel (collaborator)</t>
  </si>
  <si>
    <t>NoizyArmy</t>
  </si>
  <si>
    <t>GAB_lead_take3.wav</t>
  </si>
  <si>
    <t>Exact 'Gabriel' in name or path → credit Gabriel, group into Vibe Code sessions.</t>
  </si>
  <si>
    <t>Genius collaborator</t>
  </si>
  <si>
    <t>ID-062</t>
  </si>
  <si>
    <t>gab_ | gbrl | GAB_</t>
  </si>
  <si>
    <t>Gabriel (variant)</t>
  </si>
  <si>
    <t>gbrl-idea.wav</t>
  </si>
  <si>
    <t>Loose Gabriel variants/abbreviations — flag for human/LLM confirm before crediting.</t>
  </si>
  <si>
    <t>Low-confidence — review</t>
  </si>
  <si>
    <t>ID-063</t>
  </si>
  <si>
    <t>Lucy (collaborator)</t>
  </si>
  <si>
    <t>LUCY_vox_comp.wav</t>
  </si>
  <si>
    <t>Exact 'Lucy' in name or path → credit Lucy, group into Vibe Code sessions.</t>
  </si>
  <si>
    <t>ID-064</t>
  </si>
  <si>
    <t>lcy | LUCY_</t>
  </si>
  <si>
    <t>Lucy (variant)</t>
  </si>
  <si>
    <t>lcy_harmony.wav</t>
  </si>
  <si>
    <t>Loose Lucy variants/abbreviations — flag for human/LLM confirm before crediting.</t>
  </si>
  <si>
    <t>ID-065</t>
  </si>
  <si>
    <t>vibe[-_ ]?code | vibecode</t>
  </si>
  <si>
    <t>Vibe Code (signature)</t>
  </si>
  <si>
    <t>Signature</t>
  </si>
  <si>
    <t>VibeCode_Session_07.wav</t>
  </si>
  <si>
    <t>Any spelling of Vibe Code → the signature sound; route to /Pristine/_VibeCode/.</t>
  </si>
  <si>
    <t>Signature project sound</t>
  </si>
  <si>
    <t>ID-066</t>
  </si>
  <si>
    <t>Vibe Code (prefix)</t>
  </si>
  <si>
    <t>VC_kick_01.wav</t>
  </si>
  <si>
    <t>VC_' filename prefix — likely Vibe Code; confirm not another VC initialism.</t>
  </si>
  <si>
    <t>NOIZYARMY — MISSION SCOREBOARD</t>
  </si>
  <si>
    <t>Live game state — moves automatically as the Scan Queue fills. Find fast, process clean, learn deep.</t>
  </si>
  <si>
    <t>MISSION PROGRESS</t>
  </si>
  <si>
    <t>% to Pristine</t>
  </si>
  <si>
    <t>Total Score</t>
  </si>
  <si>
    <t>Level</t>
  </si>
  <si>
    <t>LIVE COUNTERS</t>
  </si>
  <si>
    <t>Files Found</t>
  </si>
  <si>
    <t>Audio Identified</t>
  </si>
  <si>
    <t>Pristine / Verified</t>
  </si>
  <si>
    <t>Orphans to Crack</t>
  </si>
  <si>
    <t>Dupes Purged</t>
  </si>
  <si>
    <t>Needs Rebuild</t>
  </si>
  <si>
    <t>BRAND LEADERBOARD</t>
  </si>
  <si>
    <t>ACHIEVEMENTS</t>
  </si>
  <si>
    <t>First Blood (1st file)</t>
  </si>
  <si>
    <t>Century (100 found)</t>
  </si>
  <si>
    <t>Orphan Slayer (0 left)</t>
  </si>
  <si>
    <t>Dedup Demon (50 purged)</t>
  </si>
  <si>
    <t>Pristine Pilgrim (100 clean)</t>
  </si>
  <si>
    <t>Full Sweep (100% pristine)</t>
  </si>
  <si>
    <t>DAILY LOG (manual)</t>
  </si>
  <si>
    <t>Today's date</t>
  </si>
  <si>
    <t>Files today</t>
  </si>
  <si>
    <t>Day streak</t>
  </si>
  <si>
    <t>Best session</t>
  </si>
  <si>
    <t>7 · ENGINE CONFIG — M2 ULTRA + LM STUDIO</t>
  </si>
  <si>
    <t>Hardware</t>
  </si>
  <si>
    <t>Mac Studio M2 Ultra, 192GB unified memory. Apple Silicon shares RAM across CPU/GPU/Neural Engine — the whole 192GB is addressable by the model.</t>
  </si>
  <si>
    <t>LM Studio backend</t>
  </si>
  <si>
    <t>Use the MLX runtime (Apple-Silicon native) over llama.cpp/GGUF for best tokens/sec. Set GPU offload to MAX (all layers).</t>
  </si>
  <si>
    <t>Model</t>
  </si>
  <si>
    <t>Run a large local model: Qwen2.5-72B-Instruct or Llama-3.3-70B (MLX 4-8bit). ~40-80GB resident — leaves ample headroom in 192GB for big context.</t>
  </si>
  <si>
    <t>Context window</t>
  </si>
  <si>
    <t>Push 16k-32k tokens. Feed the Identifiers 'LLM Prompt Hint' column as system context so the model knows every signature, prefix and naming token.</t>
  </si>
  <si>
    <t>Memory budget</t>
  </si>
  <si>
    <t>Keep model + context under ~150GB; leave ~40GB for the OS, scanner and DEVON suite running alongside. Do NOT swap.</t>
  </si>
  <si>
    <t>Role in pipeline</t>
  </si>
  <si>
    <t>LM Studio = Stage 4 (LLM Name) + Stage 5 (Tag): names orphan files from magic-bytes + path, proposes brand/category/character tags, grades audio quality (Q-Grade), writes its model name into the Samples 'LLM Model' + Naming Standard integrity stamp.</t>
  </si>
  <si>
    <t>Throughput tip</t>
  </si>
  <si>
    <t>Batch files in groups; keep the model resident (don't reload per file). Pin one model, stream filenames + Identifier hints as a single long prompt per batch.</t>
  </si>
  <si>
    <t>QB</t>
  </si>
  <si>
    <t>QX</t>
  </si>
  <si>
    <t>Q-GRADE DIST</t>
  </si>
  <si>
    <t>QA pristine</t>
  </si>
  <si>
    <t>QB good</t>
  </si>
  <si>
    <t>QC usable</t>
  </si>
  <si>
    <t>QX rebuild</t>
  </si>
  <si>
    <t>Q-GRADE DISTRIBUTION</t>
  </si>
  <si>
    <t>Count</t>
  </si>
  <si>
    <t>Meter</t>
  </si>
  <si>
    <t>QA — Pristine</t>
  </si>
  <si>
    <t>QB — Good</t>
  </si>
  <si>
    <t>QC — Usable</t>
  </si>
  <si>
    <t>QX — Needs Rebuild</t>
  </si>
  <si>
    <t>CREDIT SPLITS &amp; ROYALTY REGISTER</t>
  </si>
  <si>
    <t>Who made what, and who gets paid — contribution &amp; royalty splits per project, per collaborator. Splits must total 100% per project.</t>
  </si>
  <si>
    <t>Split ID</t>
  </si>
  <si>
    <t>Project / Release</t>
  </si>
  <si>
    <t>Role</t>
  </si>
  <si>
    <t>Contribution %</t>
  </si>
  <si>
    <t>Royalty %</t>
  </si>
  <si>
    <t>Agreement Ref</t>
  </si>
  <si>
    <t>CS-001</t>
  </si>
  <si>
    <t>Founder / Producer</t>
  </si>
  <si>
    <t>MSA-2026</t>
  </si>
  <si>
    <t>Agreed</t>
  </si>
  <si>
    <t>House brand — majority owner</t>
  </si>
  <si>
    <t>CS-002</t>
  </si>
  <si>
    <t>Sound Design</t>
  </si>
  <si>
    <t>Split-G01</t>
  </si>
  <si>
    <t>Collaborator BR-101</t>
  </si>
  <si>
    <t>CS-003</t>
  </si>
  <si>
    <t>Producer</t>
  </si>
  <si>
    <t>CS-004</t>
  </si>
  <si>
    <t>Vocals / Topline</t>
  </si>
  <si>
    <t>Split-L01</t>
  </si>
  <si>
    <t>Pending</t>
  </si>
  <si>
    <t>Collaborator BR-102 — awaiting sign</t>
  </si>
  <si>
    <t>CS-005</t>
  </si>
  <si>
    <t>VibeCode Signature</t>
  </si>
  <si>
    <t>VC-001</t>
  </si>
  <si>
    <t>CS-006</t>
  </si>
  <si>
    <t>Code / Design</t>
  </si>
  <si>
    <t>Split-G02</t>
  </si>
  <si>
    <t>CS-007</t>
  </si>
  <si>
    <t>Split-L02</t>
  </si>
  <si>
    <t>PROJECT BALANCE CHECK — splits must total 100%</t>
  </si>
  <si>
    <t>PER-COLLABORATOR TOTALS</t>
  </si>
  <si>
    <t>CLONE &amp; REDUNDANCY LEDGER — 3-2-1 BACKUP VERIFICATION</t>
  </si>
  <si>
    <t>Confirms every source drive's contents are cloneable + actually cloned (local + offsite cloud). Logged by scanner / backup tool; formulas flag at-risk single-copy data.</t>
  </si>
  <si>
    <t>SOURCE DRIVE CLONE LEDGER</t>
  </si>
  <si>
    <t>Clone ID</t>
  </si>
  <si>
    <t>Source Drive / Volume</t>
  </si>
  <si>
    <t>Content Scope</t>
  </si>
  <si>
    <t>Capacity GB</t>
  </si>
  <si>
    <t>Used GB</t>
  </si>
  <si>
    <t>Cloneable?</t>
  </si>
  <si>
    <t>Local Clone?</t>
  </si>
  <si>
    <t>Local Clone Path</t>
  </si>
  <si>
    <t>Local Verified</t>
  </si>
  <si>
    <t>Cloud Clone?</t>
  </si>
  <si>
    <t>Cloud Provider</t>
  </si>
  <si>
    <t>Cloud Verified</t>
  </si>
  <si>
    <t>Clone Method</t>
  </si>
  <si>
    <t>Copies</t>
  </si>
  <si>
    <t>3-2-1?</t>
  </si>
  <si>
    <t>Risk</t>
  </si>
  <si>
    <t>Last Full Verify</t>
  </si>
  <si>
    <t>CLN-001</t>
  </si>
  <si>
    <t>12RB</t>
  </si>
  <si>
    <t>Origin Master</t>
  </si>
  <si>
    <t>NOIZYANTHROPIC + NOIZYBEAST masters (scope TBC)</t>
  </si>
  <si>
    <t>TBD</t>
  </si>
  <si>
    <t>Awaiting scanner + backup-tool verification</t>
  </si>
  <si>
    <t>CLN-002</t>
  </si>
  <si>
    <t>MAG4TB</t>
  </si>
  <si>
    <t>Origin / Archive</t>
  </si>
  <si>
    <t>Project archives + foley/SFX (scope TBC)</t>
  </si>
  <si>
    <t>Drives tracked</t>
  </si>
  <si>
    <t>Confirmed 3-2-1</t>
  </si>
  <si>
    <t>CRITICAL (single copy)</t>
  </si>
  <si>
    <t>Pending verify</t>
  </si>
  <si>
    <t>Total capacity GB</t>
  </si>
  <si>
    <t>Src 3-2-1 OK?</t>
  </si>
  <si>
    <t>Backup Guard</t>
  </si>
  <si>
    <t>set Y only after Clone Status confirms this file's source drive is 3-2-1</t>
  </si>
  <si>
    <t>CLN-003</t>
  </si>
  <si>
    <t>CLN-004</t>
  </si>
  <si>
    <t>CLN-005</t>
  </si>
  <si>
    <t>CLN-006</t>
  </si>
  <si>
    <t>CLN-007</t>
  </si>
  <si>
    <t>CLN-008</t>
  </si>
  <si>
    <t>CLN-009</t>
  </si>
  <si>
    <t>CLN-010</t>
  </si>
  <si>
    <t>CLN-011</t>
  </si>
  <si>
    <t>CLN-012</t>
  </si>
  <si>
    <t>TOOL-VERIFIED AUDIT LOG</t>
  </si>
  <si>
    <t>Date</t>
  </si>
  <si>
    <t>Tool Used</t>
  </si>
  <si>
    <t>Scope Scanned</t>
  </si>
  <si>
    <t>Result</t>
  </si>
  <si>
    <t>Conclusion</t>
  </si>
  <si>
    <t>Google Drive (MCP connector)</t>
  </si>
  <si>
    <t>audio/* MIME; titles *.wav/.aif/.flac; names NOIZY/METABEAST/Sample</t>
  </si>
  <si>
    <t>0 files found (3 scans, all empty)</t>
  </si>
  <si>
    <t>No audio in Google Drive — cloud-clone tier is EMPTY. 3-2-1 offsite copy NOT in place via Drive.</t>
  </si>
  <si>
    <t>Connector + agent audit</t>
  </si>
  <si>
    <t>All MCP connectors + connected agents</t>
  </si>
  <si>
    <t>No tool can reach local drives (12RB, MAG4TB, /Volumes/Audio)</t>
  </si>
  <si>
    <t>Desktop Commander NOT connected. Local-drive scan requires it running on the Mac.</t>
  </si>
  <si>
    <t>Adobe Creative Cloud (MCP)</t>
  </si>
  <si>
    <t>CC assets: audio / music / sound effects / samples</t>
  </si>
  <si>
    <t>0 found</t>
  </si>
  <si>
    <t>No audio in Adobe Creative Cloud.</t>
  </si>
  <si>
    <t>Gmail (MCP)</t>
  </si>
  <si>
    <t>Attachments: .wav/.aif/.mp3/.mov/.mp4</t>
  </si>
  <si>
    <t>No audio/video email attachments.</t>
  </si>
  <si>
    <t>8 · HOW TO CONNECT ME TO YOUR DRIVES (researched 2026-06-30)</t>
  </si>
  <si>
    <t>The problem</t>
  </si>
  <si>
    <t>This Excel session is sandboxed. Confirmed by live scans: Google Drive, Adobe Creative Cloud &amp; Gmail all = 0 audio/video. Your media lives ONLY on local drives (12RB, MAG4TB, /Volumes/Audio) which no tool here can reach.</t>
  </si>
  <si>
    <t>The bridge: MCP</t>
  </si>
  <si>
    <t>Model Context Protocol — Anthropic's open standard, the 'USB-C port for AI'. A small server runs on YOUR Mac and gives Claude scoped, approval-gated access to your filesystem + terminal.</t>
  </si>
  <si>
    <t>Option A — Desktop Commander</t>
  </si>
  <si>
    <t>Most powerful (~25 tools: read/write/search files, run shell). Install: npx -y @wonderwhy-er/desktop-commander setup. NEW remote mode lets web/browser Claude reach your Mac: npx @wonderwhy-er/desktop-commander@latest remote + OAuth login.</t>
  </si>
  <si>
    <t>Option B — Filesystem MCP</t>
  </si>
  <si>
    <t>Official, simpler, no shell. Read/write scoped to folders you allow: @modelcontextprotocol/server-filesystem /Volumes/Audio</t>
  </si>
  <si>
    <t>Option C — Claude Desktop</t>
  </si>
  <si>
    <t>The host app (Mac/Win) that runs the above local servers. + menu -&gt; Connectors -&gt; add server, restart, approve each action.</t>
  </si>
  <si>
    <t>Option D — Claude Code</t>
  </si>
  <si>
    <t>Anthropic's CLI agent with full filesystem access, no MCP setup. Point it at /Volumes/Audio, run the scan, export the listing into this workbook's Scan Queue.</t>
  </si>
  <si>
    <t>Recommended for NoizyArmy</t>
  </si>
  <si>
    <t>Desktop Commander remote/OAuth so THIS assistant reaches your Mac directly — OR run the scan in Claude Desktop/Code and drop the file list into the Scan Queue. Either way the catalog, dedup, brand-routing &amp; Clone ledger auto-fill.</t>
  </si>
  <si>
    <t>Security</t>
  </si>
  <si>
    <t>Every MCP action is approval-gated. Scope the server to ONLY /Volumes/Audio. Never expose a filesystem/shell MCP on a public port — OAuth or local stdio only.</t>
  </si>
  <si>
    <t>Excel add-in JS sandbox</t>
  </si>
  <si>
    <t>fetch / XMLHttpRequest / WebSocket -&gt; LM Studio localhost:1234</t>
  </si>
  <si>
    <t>ALL undefined — no network stack in this context</t>
  </si>
  <si>
    <t>Cannot initiate LM Studio API call from this Excel add-in. Connection must start LOCALLY.</t>
  </si>
  <si>
    <t>PATH FWD</t>
  </si>
  <si>
    <t>LM Studio + filesystem MCP, or Desktop Commander</t>
  </si>
  <si>
    <t>DC has native .xlsx read/write — can scan + write INTO this workbook on disk</t>
  </si>
  <si>
    <t>Local orchestration → results imported here</t>
  </si>
  <si>
    <t>Run scan locally; upload listing to me OR let Desktop Commander write rows into this file directly.</t>
  </si>
  <si>
    <t>Google Drive broad scan (owner=me)</t>
  </si>
  <si>
    <t>Account identity + what's consuming storage</t>
  </si>
  <si>
    <t>Connected account = rsp@noizy.ai (2 small Sheets + 1 folder only; video=0, archives=0)</t>
  </si>
  <si>
    <t>WRONG ACCOUNT. The 250GB + cloud audio are NOT in rsp@noizy.ai. Reconnect as rsplowman@gmail.com (single 'p' — NOT rspplowman) and re-scan.</t>
  </si>
  <si>
    <t>Account correction (user)</t>
  </si>
  <si>
    <t>Target Google account for media + 250GB</t>
  </si>
  <si>
    <t>Correct = rsplowman@gmail.com (single p). 'rspplowman' was a typo; rsp@noizy.ai is the wrong/empty Workspace acct.</t>
  </si>
  <si>
    <t>ACTION: connect rsplowman@gmail.com, then re-run all cloud scans.</t>
  </si>
  <si>
    <t>LOCAL SCAN PLAYBOOK — get your drives into this workbook</t>
  </si>
  <si>
    <t>Copy-paste commands for macOS (M2 Ultra). Output maps straight into the Scan Queue paste columns B–G. Run in Terminal, then upload the CSV to me.</t>
  </si>
  <si>
    <t>METHOD A · FAST FILE LISTING (no hashing — seconds, run this first)</t>
  </si>
  <si>
    <t>Run per drive. Outputs: Filename, Full Path, Size(bytes), Extension, Modified(epoch) → Scan Queue cols B,C,D,E,F.</t>
  </si>
  <si>
    <t>find /Volumes/Audio -type f -print0 | while IFS= read -r -d '' f; do n=$(basename "$f"); echo "\"$n\",\"$f\",$(stat -f%z "$f"),\"${n##*.}\",$(stat -f%m "$f")"; done &gt; ~/Desktop/audio_scan.csv</t>
  </si>
  <si>
    <t>Repeat for your other drives — swap the path and output name:</t>
  </si>
  <si>
    <t>find /Volumes/12RB   -type f -print0 | while IFS= read -r -d '' f; do n=$(basename "$f"); echo "\"$n\",\"$f\",$(stat -f%z "$f"),\"${n##*.}\",$(stat -f%m "$f")"; done &gt; ~/Desktop/12RB_scan.csv</t>
  </si>
  <si>
    <t>find /Volumes/MAG4TB -type f -print0 | while IFS= read -r -d '' f; do n=$(basename "$f"); echo "\"$n\",\"$f\",$(stat -f%z "$f"),\"${n##*.}\",$(stat -f%m "$f")"; done &gt; ~/Desktop/MAG4TB_scan.csv</t>
  </si>
  <si>
    <t>METHOD B · FULL LISTING WITH SHA256 (enables dedup — slower, run overnight on big drives)</t>
  </si>
  <si>
    <t>Adds the SHA256 hash → Scan Queue col G. Powers the Dup Count / DUP detection automatically.</t>
  </si>
  <si>
    <t>find /Volumes/Audio -type f -print0 | while IFS= read -r -d '' f; do n=$(basename "$f"); h=$(shasum -a 256 "$f" | cut -d' ' -f1); echo "\"$n\",\"$f\",$(stat -f%z "$f"),\"${n##*.}\",$(stat -f%m "$f"),$h"; done &gt; ~/Desktop/audio_scan_hashed.csv</t>
  </si>
  <si>
    <t>METHOD C · LM STUDIO (your M2 Ultra does the work — needs a filesystem MCP loaded in LM Studio)</t>
  </si>
  <si>
    <t>Load a filesystem MCP in LM Studio, then paste this prompt to your local model. It scans + classifies in one pass.</t>
  </si>
  <si>
    <t>"Using the filesystem tools, recursively list every file under /Volumes/Audio. For each file output one CSV line: filename, full path, size in bytes, extension, modified epoch, and your best-guess brand (NOIZYANTHROPIC / NOIZYBEAST / METABEAST / unknown) from the path and name. Flag files with no extension as ORPHAN. Write the result to ~/Desktop/lmstudio_scan.csv"</t>
  </si>
  <si>
    <t>METHOD D · DESKTOP COMMANDER (most automated — can write rows straight into this workbook)</t>
  </si>
  <si>
    <t>One-time install in Terminal, then drive it from Claude Desktop:</t>
  </si>
  <si>
    <t>npx -y @wonderwhy-er/desktop-commander setup</t>
  </si>
  <si>
    <t>Then ask Claude Desktop: "Scan /Volumes/Audio, hash each file, and append the rows into NoizyArmy_Catalog.xlsx on the Scan Queue sheet (cols B–G)."</t>
  </si>
  <si>
    <t>COLUMN MAPPING — CSV output → Scan Queue paste columns</t>
  </si>
  <si>
    <t>CSV field 1 → B Filename   |   2 → C Full Path   |   3 → D Size(bytes)   |   4 → E Extension   |   5 → F Modified   |   6 → G SHA256</t>
  </si>
  <si>
    <t>Columns H onward (brand, destination, dup status, backup guard) auto-fill by formula once B–G are pasted. Leave them alone.</t>
  </si>
  <si>
    <t>AFTER SCANNING — get it into the workbook</t>
  </si>
  <si>
    <t>1. Drag the .csv into this chat — I'll load every row into the Scan Queue (cols B–G) and the catalog lights up.</t>
  </si>
  <si>
    <t>2. OR open the .csv, copy the rows, paste into Scan Queue starting at cell B4.</t>
  </si>
  <si>
    <t>3. Big drives: run Method A first (fast) to populate the catalog, then Method B (hashed) overnight to enable dedup.</t>
  </si>
  <si>
    <t>BONUS · AUDIO TECHNICAL METADATA (sample rate / duration / channels)</t>
  </si>
  <si>
    <t>afinfo is built into macOS — run on a single file to pull specs for the Samples sheet (sample rate, duration, format):</t>
  </si>
  <si>
    <t>afinfo "/Volumes/Audio/yourfile.wav"</t>
  </si>
  <si>
    <t>GLOBAL DATA MAP — every location, every tier, audited</t>
  </si>
  <si>
    <t>Master atlas of where NoizyArmy data lives worldwide — local drives, cloud accounts &amp; services. Reachability + scan + audit status per location.</t>
  </si>
  <si>
    <t>Loc ID</t>
  </si>
  <si>
    <t>Location</t>
  </si>
  <si>
    <t>Tier</t>
  </si>
  <si>
    <t>Host / Account</t>
  </si>
  <si>
    <t>Path / URL</t>
  </si>
  <si>
    <t>Reachable by AI?</t>
  </si>
  <si>
    <t>Scan Status</t>
  </si>
  <si>
    <t>Audit Status</t>
  </si>
  <si>
    <t>Last Audited</t>
  </si>
  <si>
    <t>Clone / Redundancy</t>
  </si>
  <si>
    <t>LOC-001</t>
  </si>
  <si>
    <t>Audio Master Volume</t>
  </si>
  <si>
    <t>Local Drive</t>
  </si>
  <si>
    <t>M2 Ultra (Mac)</t>
  </si>
  <si>
    <t>No — sandbox</t>
  </si>
  <si>
    <t>Not audited</t>
  </si>
  <si>
    <t>TBC</t>
  </si>
  <si>
    <t>CRITICAL</t>
  </si>
  <si>
    <t>Primary working masters</t>
  </si>
  <si>
    <t>LOC-002</t>
  </si>
  <si>
    <t>/Volumes/12RB</t>
  </si>
  <si>
    <t>NA + NB masters (assumed 12TB)</t>
  </si>
  <si>
    <t>LOC-003</t>
  </si>
  <si>
    <t>/Volumes/MAG4TB</t>
  </si>
  <si>
    <t>Project archives + foley (assumed 4TB)</t>
  </si>
  <si>
    <t>LOC-010</t>
  </si>
  <si>
    <t>Google Drive (Workspace)</t>
  </si>
  <si>
    <t>Cloud Acct</t>
  </si>
  <si>
    <t>rsp@noizy.ai</t>
  </si>
  <si>
    <t>drive.google.com</t>
  </si>
  <si>
    <t>Yes — Drive MCP</t>
  </si>
  <si>
    <t>Scanned</t>
  </si>
  <si>
    <t>0 audio</t>
  </si>
  <si>
    <t>Audited ✓</t>
  </si>
  <si>
    <t>LOW</t>
  </si>
  <si>
    <t>Near-empty; wrong account</t>
  </si>
  <si>
    <t>LOC-011</t>
  </si>
  <si>
    <t>Google Drive (personal)</t>
  </si>
  <si>
    <t>rsplowman@gmail.com</t>
  </si>
  <si>
    <t>NOT connected</t>
  </si>
  <si>
    <t>UNKNOWN</t>
  </si>
  <si>
    <t>CONNECT THIS — holds the ~250GB</t>
  </si>
  <si>
    <t>LOC-012</t>
  </si>
  <si>
    <t>Gmail attachments</t>
  </si>
  <si>
    <t>Cloud Service</t>
  </si>
  <si>
    <t>mail.google.com</t>
  </si>
  <si>
    <t>Yes — Gmail MCP</t>
  </si>
  <si>
    <t>0 media</t>
  </si>
  <si>
    <t>Wrong account</t>
  </si>
  <si>
    <t>LOC-013</t>
  </si>
  <si>
    <t>Adobe Creative Cloud</t>
  </si>
  <si>
    <t>Adobe ID</t>
  </si>
  <si>
    <t>assets.adobe.com</t>
  </si>
  <si>
    <t>Yes — Adobe MCP</t>
  </si>
  <si>
    <t>No audio assets</t>
  </si>
  <si>
    <t>LOC-020</t>
  </si>
  <si>
    <t>Pristine Masters (target)</t>
  </si>
  <si>
    <t>Destination</t>
  </si>
  <si>
    <t>TBD drive</t>
  </si>
  <si>
    <t>/Pristine/</t>
  </si>
  <si>
    <t>WARN</t>
  </si>
  <si>
    <t>Empty; awaiting routed files</t>
  </si>
  <si>
    <t>LOC-021</t>
  </si>
  <si>
    <t>Cloud Archive (offsite)</t>
  </si>
  <si>
    <t>TBD provider</t>
  </si>
  <si>
    <t>s3 / Backblaze</t>
  </si>
  <si>
    <t>Offsite 3-2-1 target — not set up</t>
  </si>
  <si>
    <t>GLOBAL AUDIT</t>
  </si>
  <si>
    <t>Locations tracked</t>
  </si>
  <si>
    <t>Audited</t>
  </si>
  <si>
    <t>Pending scan</t>
  </si>
  <si>
    <t>Unreachable (local)</t>
  </si>
  <si>
    <t>CRITICAL risk</t>
  </si>
  <si>
    <t>Capacity GB (sum)</t>
  </si>
  <si>
    <t>Used GB (sum)</t>
  </si>
  <si>
    <t>MASTER MONITOR — NoizyArmy mission control</t>
  </si>
  <si>
    <t>Live status board (auto-pulls every sheet's roll-up) + worker/agent registry + integration map. One screen, whole operation.</t>
  </si>
  <si>
    <t>LIVE STATUS BOARD</t>
  </si>
  <si>
    <t>PIPELINE</t>
  </si>
  <si>
    <t>Files in Queue</t>
  </si>
  <si>
    <t>Orphans</t>
  </si>
  <si>
    <t>BRANDS / LIBS</t>
  </si>
  <si>
    <t>Libraries</t>
  </si>
  <si>
    <t>INTEGRITY</t>
  </si>
  <si>
    <t>Tracked</t>
  </si>
  <si>
    <t>QA grade</t>
  </si>
  <si>
    <t>STORAGE &amp; CLONES</t>
  </si>
  <si>
    <t>Drives (clone ledger)</t>
  </si>
  <si>
    <t>3-2-1 OK</t>
  </si>
  <si>
    <t>CRITICAL single-copy</t>
  </si>
  <si>
    <t>GLOBAL MAP</t>
  </si>
  <si>
    <t>Locations</t>
  </si>
  <si>
    <t>SCORE</t>
  </si>
  <si>
    <t>Capacity GB (global)</t>
  </si>
  <si>
    <t>WORKER &amp; AGENT REGISTRY</t>
  </si>
  <si>
    <t>Worker</t>
  </si>
  <si>
    <t>Role in Pipeline</t>
  </si>
  <si>
    <t>Reachable Via</t>
  </si>
  <si>
    <t>Last Activity</t>
  </si>
  <si>
    <t>Next Action</t>
  </si>
  <si>
    <t>LM Studio (M2 Ultra)</t>
  </si>
  <si>
    <t>Local LLM</t>
  </si>
  <si>
    <t>Stage 4-5: name / tag / Q-grade</t>
  </si>
  <si>
    <t>Idle</t>
  </si>
  <si>
    <t>Local REST :1234 (not from add-in)</t>
  </si>
  <si>
    <t>Load filesystem MCP + 70B model</t>
  </si>
  <si>
    <t>Local agent</t>
  </si>
  <si>
    <t>Scan / hash / move / write .xlsx</t>
  </si>
  <si>
    <t>Not connected</t>
  </si>
  <si>
    <t>Local stdio / OAuth remote</t>
  </si>
  <si>
    <t>Local tool</t>
  </si>
  <si>
    <t>Stage 6: clean / rebuild audio</t>
  </si>
  <si>
    <t>Manual</t>
  </si>
  <si>
    <t>Local app</t>
  </si>
  <si>
    <t>Run on QX-grade files</t>
  </si>
  <si>
    <t>Filesystem MCP</t>
  </si>
  <si>
    <t>Local bridge</t>
  </si>
  <si>
    <t>Read /Volumes/Audio</t>
  </si>
  <si>
    <t>stdio (Claude Desktop / LM Studio)</t>
  </si>
  <si>
    <t>Add server, scope to /Volumes/Audio</t>
  </si>
  <si>
    <t>Google Drive</t>
  </si>
  <si>
    <t>Cloud connector</t>
  </si>
  <si>
    <t>Cloud audio scan</t>
  </si>
  <si>
    <t>Connected (wrong acct)</t>
  </si>
  <si>
    <t>Drive MCP</t>
  </si>
  <si>
    <t>Reconnect rsplowman@gmail.com</t>
  </si>
  <si>
    <t>Gmail</t>
  </si>
  <si>
    <t>Email media scan</t>
  </si>
  <si>
    <t>Connected</t>
  </si>
  <si>
    <t>Gmail MCP</t>
  </si>
  <si>
    <t>CC asset scan</t>
  </si>
  <si>
    <t>Adobe MCP</t>
  </si>
  <si>
    <t>Sound design (BR-101)</t>
  </si>
  <si>
    <t>Active</t>
  </si>
  <si>
    <t>Credit Splits / Brands</t>
  </si>
  <si>
    <t>Tag contributions per project</t>
  </si>
  <si>
    <t>Vocals (BR-102)</t>
  </si>
  <si>
    <t>Excel (this workbook)</t>
  </si>
  <si>
    <t>Microsoft</t>
  </si>
  <si>
    <t>Catalog brain + monitor</t>
  </si>
  <si>
    <t>ACTIVE</t>
  </si>
  <si>
    <t>native</t>
  </si>
  <si>
    <t>live</t>
  </si>
  <si>
    <t>Power Automate</t>
  </si>
  <si>
    <t>Webhook / flow automation</t>
  </si>
  <si>
    <t>Not wired</t>
  </si>
  <si>
    <t>HTTP webhook trigger</t>
  </si>
  <si>
    <t>Flow: file drop → append Scan Queue row</t>
  </si>
  <si>
    <t>MS Graph API</t>
  </si>
  <si>
    <t>OneDrive / SharePoint scan</t>
  </si>
  <si>
    <t>Graph REST + OAuth</t>
  </si>
  <si>
    <t>Auth to scan MS cloud tiers</t>
  </si>
  <si>
    <t>Copilot (Excel)</t>
  </si>
  <si>
    <t>In-sheet AI assist</t>
  </si>
  <si>
    <t>Available</t>
  </si>
  <si>
    <t>Optional — formula / analysis help</t>
  </si>
  <si>
    <t>Azure Blob Storage</t>
  </si>
  <si>
    <t>Cloud archive tier</t>
  </si>
  <si>
    <t>Azure SDK / rclone</t>
  </si>
  <si>
    <t>Candidate 3-2-1 offsite (LOC-021)</t>
  </si>
  <si>
    <t>INTEGRATION &amp; WEBHOOK MAP — wiring targets (built off-workbook, tracked here)</t>
  </si>
  <si>
    <t>1. INGEST WEBHOOK</t>
  </si>
  <si>
    <t>Power Automate 'When a file is created' (Desktop/scan folder) → parse CSV → add rows to Scan Queue B:G. The hands-free import path.</t>
  </si>
  <si>
    <t>2. LOCAL SCAN CALL</t>
  </si>
  <si>
    <t>LM Studio POST /api/v1/chat with filesystem MCP → returns classified CSV. Driven by a local script, not this add-in.</t>
  </si>
  <si>
    <t>3. DC BOOTSTRAP</t>
  </si>
  <si>
    <t>Desktop Commander writes rows straight into this .xlsx on disk — no upload, no webhook. Most direct.</t>
  </si>
  <si>
    <t>4. CLOUD SYNC</t>
  </si>
  <si>
    <t>MS Graph (OneDrive/SharePoint) or Google Drive MCP → mirror pristine masters offsite for the 3-2-1 tier.</t>
  </si>
  <si>
    <t>NOTE</t>
  </si>
  <si>
    <t>This add-in's sandbox has no network — it cannot fire these calls itself. They run off-workbook (local agent / Power Automate / script); this sheet is the registry + status board that monitors them.</t>
  </si>
  <si>
    <t>HEALTH GAUGES</t>
  </si>
  <si>
    <t>Audited %</t>
  </si>
  <si>
    <t>Workers Active %</t>
  </si>
  <si>
    <t>Backup 3-2-1 %</t>
  </si>
  <si>
    <t>Pristine %</t>
  </si>
  <si>
    <t>WORKER COUNTS</t>
  </si>
  <si>
    <t>Active / Connected</t>
  </si>
  <si>
    <t>Blocked (not connected)</t>
  </si>
  <si>
    <t>Needs attention</t>
  </si>
  <si>
    <t>BLEND &amp; MERGE PLAN — unify all cloud + local into one pristine library</t>
  </si>
  <si>
    <t>Consolidation strategy: scan every source → normalize names → dedupe by hash → route to brand pristine → verify 3-2-1. Conflict rules below.</t>
  </si>
  <si>
    <t>1 · SOURCE INVENTORY (what merges, what's ignored)</t>
  </si>
  <si>
    <t>Reachable</t>
  </si>
  <si>
    <t>Known Content</t>
  </si>
  <si>
    <t>Merge Role</t>
  </si>
  <si>
    <t>Local</t>
  </si>
  <si>
    <t>No — scan locally</t>
  </si>
  <si>
    <t>Working masters (TBC)</t>
  </si>
  <si>
    <t>PRIMARY SOURCE</t>
  </si>
  <si>
    <t>NA + NB masters</t>
  </si>
  <si>
    <t>Project archives + foley</t>
  </si>
  <si>
    <t>SECONDARY SOURCE</t>
  </si>
  <si>
    <t>Cloud</t>
  </si>
  <si>
    <t>~250GB — unknown until connected</t>
  </si>
  <si>
    <t>CLOUD SOURCE — CONNECT</t>
  </si>
  <si>
    <t>Yes</t>
  </si>
  <si>
    <t>3 objects, ~5KB, 0 media (exhaustive)</t>
  </si>
  <si>
    <t>IGNORE — empty</t>
  </si>
  <si>
    <t>2 · CONFLICT RESOLUTION (same file in 2+ sources — which wins)</t>
  </si>
  <si>
    <t>Scenario</t>
  </si>
  <si>
    <t>Detection</t>
  </si>
  <si>
    <t>Resolution Rule</t>
  </si>
  <si>
    <t>Identical file, multiple sources</t>
  </si>
  <si>
    <t>SHA256 match</t>
  </si>
  <si>
    <t>Keep ONE canonical in pristine; log the rest as clones (Clone Status). Delete dupes ONLY after 3-2-1 confirmed.</t>
  </si>
  <si>
    <t>Same name, different content</t>
  </si>
  <si>
    <t>name match, hash differs</t>
  </si>
  <si>
    <t>Canonical = highest Q-Grade, tie-break newest modified. Archive the other as _v2/_v3 (never delete).</t>
  </si>
  <si>
    <t>Lossy vs lossless, same audio</t>
  </si>
  <si>
    <t>format compare (wav vs mp3)</t>
  </si>
  <si>
    <t>Lossless (WAV/FLAC) is canonical. Flag the lossy copy 'RE-SOURCE' — do not ship.</t>
  </si>
  <si>
    <t>Cloud copy vs local master</t>
  </si>
  <si>
    <t>source tier compare</t>
  </si>
  <si>
    <t>LOCAL master = canonical source of truth. Cloud copy becomes the offsite 3-2-1 clone.</t>
  </si>
  <si>
    <t>Orphan (no extension)</t>
  </si>
  <si>
    <t>magic bytes (Identifiers)</t>
  </si>
  <si>
    <t>Identify type, rename per Plowman Standard, THEN merge. Never merge an unidentified blob.</t>
  </si>
  <si>
    <t>Same name, different brand path</t>
  </si>
  <si>
    <t>name match, brand differs</t>
  </si>
  <si>
    <t>Flag MANUAL REVIEW — possible misfile. Do not auto-route.</t>
  </si>
  <si>
    <t>3 · MERGE WORKFLOW (run in order — nothing deletes until Phase 6)</t>
  </si>
  <si>
    <t>Phase 1 · DISCOVER</t>
  </si>
  <si>
    <t>Scan every PRIMARY/SECONDARY/CLOUD source (Scan Commands sheet) → every file lands in Scan Queue with path, size, hash.</t>
  </si>
  <si>
    <t>Phase 2 · NORMALIZE</t>
  </si>
  <si>
    <t>Apply 2026 Plowman naming. Identify orphans via magic bytes. Brand-detect via SEARCH formulas (already live).</t>
  </si>
  <si>
    <t>Phase 3 · DEDUPE</t>
  </si>
  <si>
    <t>SHA256 across ALL sources at once. Mark DUP. Pick canonical per the conflict rules above. This is where cloud+local truly blend.</t>
  </si>
  <si>
    <t>Phase 4 · ROUTE</t>
  </si>
  <si>
    <t>Move canonical to /Pristine/&lt;brand&gt;/. Collaborator work → /Pristine/_Collaborators/. Unsorted → _UNSORTED for review.</t>
  </si>
  <si>
    <t>Phase 5 · VERIFY</t>
  </si>
  <si>
    <t>Hash-verify the pristine copy matches source. Set Q-Grade. Log to Integrity sheet. Stamp with integrity tag.</t>
  </si>
  <si>
    <t>Phase 6 · CLONE &amp; RECLAIM</t>
  </si>
  <si>
    <t>Replicate pristine → backup drive + cloud offsite. Confirm 3-2-1 in Clone Status. ONLY THEN may source dupes be deleted (Backup Guard flips to SAFE TO MOVE).</t>
  </si>
  <si>
    <t>4 · MERGE PROGRESS (update Status — bar auto-fills)</t>
  </si>
  <si>
    <t>Phase</t>
  </si>
  <si>
    <t>Owner / Tool</t>
  </si>
  <si>
    <t>Not started</t>
  </si>
  <si>
    <t>Scan Commands / local agent</t>
  </si>
  <si>
    <t>2 Normalize</t>
  </si>
  <si>
    <t>Plowman Standard / Identifiers</t>
  </si>
  <si>
    <t>3 Dedupe</t>
  </si>
  <si>
    <t>SHA256 / Scan Queue</t>
  </si>
  <si>
    <t>4 Route</t>
  </si>
  <si>
    <t>Brand pristine folders</t>
  </si>
  <si>
    <t>5 Verify</t>
  </si>
  <si>
    <t>Integrity / Q-Grade</t>
  </si>
  <si>
    <t>6 Clone &amp; Reclaim</t>
  </si>
  <si>
    <t>Clone Status / 3-2-1</t>
  </si>
  <si>
    <t>PROGRESS</t>
  </si>
  <si>
    <t>DEDUPE SIMULATION — the conflict engine, proven on colliding files</t>
  </si>
  <si>
    <t>Sample collisions across sources. Canonical pick &amp; action are FORMULA-DRIVEN per the Blend &amp; Merge rules — this is how cloud+local actually merge.</t>
  </si>
  <si>
    <t>File</t>
  </si>
  <si>
    <t>Q-Score</t>
  </si>
  <si>
    <t>Group</t>
  </si>
  <si>
    <t>Canonical?</t>
  </si>
  <si>
    <t>Action (auto)</t>
  </si>
  <si>
    <t>Kick_01.wav</t>
  </si>
  <si>
    <t>a3f5e9..AAA</t>
  </si>
  <si>
    <t>G1</t>
  </si>
  <si>
    <t>Identical</t>
  </si>
  <si>
    <t>Riser.wav</t>
  </si>
  <si>
    <t>b7d2c1..BBB</t>
  </si>
  <si>
    <t>G2</t>
  </si>
  <si>
    <t>Lossy-vs-lossless</t>
  </si>
  <si>
    <t>Riser.mp3</t>
  </si>
  <si>
    <t>rsplowman cloud</t>
  </si>
  <si>
    <t>c1e9f4..CCC</t>
  </si>
  <si>
    <t>MP3</t>
  </si>
  <si>
    <t>QC</t>
  </si>
  <si>
    <t>Snare.wav</t>
  </si>
  <si>
    <t>d4a1b8..DDD</t>
  </si>
  <si>
    <t>G3</t>
  </si>
  <si>
    <t>Name-collision</t>
  </si>
  <si>
    <t>e5b2c9..EEE</t>
  </si>
  <si>
    <t>Vox_Lead.wav</t>
  </si>
  <si>
    <t>f6c3da..FFF</t>
  </si>
  <si>
    <t>G4</t>
  </si>
  <si>
    <t>Cloud-only</t>
  </si>
  <si>
    <t>UNKNOWN_882</t>
  </si>
  <si>
    <t>0a1b2c..GGG</t>
  </si>
  <si>
    <t>(none)</t>
  </si>
  <si>
    <t>G5</t>
  </si>
  <si>
    <t>Loop_120.flac</t>
  </si>
  <si>
    <t>1b2c3d..HHH</t>
  </si>
  <si>
    <t>FLAC</t>
  </si>
  <si>
    <t>G6</t>
  </si>
  <si>
    <t>LOAD BALANCER — rebalance + representation audit</t>
  </si>
  <si>
    <t>Computes optimal data distribution across all drives + confirms every dataset is on local AND cloud (3-2-1). Yellow = scanner inputs; rest auto-computes.</t>
  </si>
  <si>
    <t>1 · DRIVE LOAD &amp; REBALANCE</t>
  </si>
  <si>
    <t>Drive</t>
  </si>
  <si>
    <t>Free GB</t>
  </si>
  <si>
    <t>Target %</t>
  </si>
  <si>
    <t>Rebalance GB</t>
  </si>
  <si>
    <t>Pristine Masters</t>
  </si>
  <si>
    <t>GDrive (rsplowman)</t>
  </si>
  <si>
    <t>2 · REPRESENTATION AUDIT — is every dataset on local AND cloud?</t>
  </si>
  <si>
    <t>Dataset</t>
  </si>
  <si>
    <t>Local Copies</t>
  </si>
  <si>
    <t>Cloud Copies</t>
  </si>
  <si>
    <t>Total</t>
  </si>
  <si>
    <t>3-2-1 OK?</t>
  </si>
  <si>
    <t>Gap / Action</t>
  </si>
  <si>
    <t>Collaborators (Gabriel/Lucy)</t>
  </si>
  <si>
    <t>Vendor Libraries</t>
  </si>
  <si>
    <t>REPRESENTATION SCORE</t>
  </si>
  <si>
    <t>NOIZYARMY COMMAND CENTER</t>
  </si>
  <si>
    <t>Front door to the whole operation — jump to any system, track every action.</t>
  </si>
  <si>
    <t>CONTROL &amp; MONITOR</t>
  </si>
  <si>
    <t>Master Monitor</t>
  </si>
  <si>
    <t>Live status board, gauges, worker registry</t>
  </si>
  <si>
    <t>KPI cockpit — pipeline, brands, storage</t>
  </si>
  <si>
    <t>Scoreboard</t>
  </si>
  <si>
    <t>Gamified progress, score, achievements</t>
  </si>
  <si>
    <t>CATALOG</t>
  </si>
  <si>
    <t>Master library inventory (20 libs)</t>
  </si>
  <si>
    <t>Per-file catalog (41 cols)</t>
  </si>
  <si>
    <t>NA / NB / MB + collaborators, claim rules</t>
  </si>
  <si>
    <t>Commercial vendor signatures</t>
  </si>
  <si>
    <t>Credit Splits</t>
  </si>
  <si>
    <t>Collaborator royalty tracking</t>
  </si>
  <si>
    <t>Paste-in landing zone, auto-classify</t>
  </si>
  <si>
    <t>Scan Commands</t>
  </si>
  <si>
    <t>Local scan playbook (find/LM Studio/DC)</t>
  </si>
  <si>
    <t>INTELLIGENCE</t>
  </si>
  <si>
    <t>60 grep / magic-byte / token patterns</t>
  </si>
  <si>
    <t>Tag taxonomy (TagSpaces/DEVON)</t>
  </si>
  <si>
    <t>Faceted query builder + recipes</t>
  </si>
  <si>
    <t>Naming Standard</t>
  </si>
  <si>
    <t>2026 Plowman Standard + generators</t>
  </si>
  <si>
    <t>STORAGE &amp; BACKUP</t>
  </si>
  <si>
    <t>Drive targets, capacity, redundancy</t>
  </si>
  <si>
    <t>Clone Status</t>
  </si>
  <si>
    <t>3-2-1 ledger + tool-verified audit log</t>
  </si>
  <si>
    <t>Global Data Map</t>
  </si>
  <si>
    <t>Every location, reachability, audit</t>
  </si>
  <si>
    <t>Load Balancer</t>
  </si>
  <si>
    <t>Rebalance engine + representation audit</t>
  </si>
  <si>
    <t>Blend &amp; Merge Plan</t>
  </si>
  <si>
    <t>Cloud+local merge, conflict rules</t>
  </si>
  <si>
    <t>Dedupe Sim</t>
  </si>
  <si>
    <t>Conflict-resolution proof engine</t>
  </si>
  <si>
    <t>GOVERNANCE</t>
  </si>
  <si>
    <t>Clearance, resale, royalty rights</t>
  </si>
  <si>
    <t>SHA256, dedup, Q-Grade, rebuild</t>
  </si>
  <si>
    <t>Operating manual + engine config</t>
  </si>
  <si>
    <t>EVENT LOG — append new rows as work happens</t>
  </si>
  <si>
    <t>Event</t>
  </si>
  <si>
    <t>Detail</t>
  </si>
  <si>
    <t>System built</t>
  </si>
  <si>
    <t>All</t>
  </si>
  <si>
    <t>24-sheet catalog &amp; monitoring system created</t>
  </si>
  <si>
    <t>Cloud scan</t>
  </si>
  <si>
    <t>Global Map</t>
  </si>
  <si>
    <t>Drive / Gmail / Adobe scanned — 0 audio found</t>
  </si>
  <si>
    <t>Account finding</t>
  </si>
  <si>
    <t>Connected acct = rsp@noizy.ai (wrong); target = rsplowman@gmail.com</t>
  </si>
  <si>
    <t>Bug fixed</t>
  </si>
  <si>
    <t>Drive count 11→2 (audit rows excluded from roll-up)</t>
  </si>
  <si>
    <t>Worker active count double-count corrected (8→5)</t>
  </si>
  <si>
    <t>Engine proven</t>
  </si>
  <si>
    <t>6 conflict scenarios resolved correctly via formula</t>
  </si>
  <si>
    <t>M2 ULTRA OFFLOAD ANALYSIS — what must stay vs what can leave</t>
  </si>
  <si>
    <t>Frees your machine: keep only the hot working set local; push cold/archive/dupes to MAG4TB + cloud. Est GB are yellow inputs — scanner fills.</t>
  </si>
  <si>
    <t>Data Category</t>
  </si>
  <si>
    <t>Access Freq</t>
  </si>
  <si>
    <t>Must Stay on M2?</t>
  </si>
  <si>
    <t>Reason</t>
  </si>
  <si>
    <t>Offload Target</t>
  </si>
  <si>
    <t>Est GB</t>
  </si>
  <si>
    <t>Active project masters (current builds)</t>
  </si>
  <si>
    <t>Daily</t>
  </si>
  <si>
    <t>STAY</t>
  </si>
  <si>
    <t>Low-latency editing</t>
  </si>
  <si>
    <t>— keep on M2</t>
  </si>
  <si>
    <t>SuperSonic working set (in-process)</t>
  </si>
  <si>
    <t>Active cleaning/rebuild</t>
  </si>
  <si>
    <t>LM Studio model + cache</t>
  </si>
  <si>
    <t>Inference engine (70B)</t>
  </si>
  <si>
    <t>— keep on M2 (~150GB)</t>
  </si>
  <si>
    <t>Pristine masters (canonical, 1 copy)</t>
  </si>
  <si>
    <t>Occasional</t>
  </si>
  <si>
    <t>1 LOCAL</t>
  </si>
  <si>
    <t>3-2-1: 1 local + cloud clone</t>
  </si>
  <si>
    <t>local + cloud clone</t>
  </si>
  <si>
    <t>Delivered / released libraries</t>
  </si>
  <si>
    <t>Rarely</t>
  </si>
  <si>
    <t>OFFLOAD</t>
  </si>
  <si>
    <t>Shipped — cold storage</t>
  </si>
  <si>
    <t>Cloud Archive + MAG4TB</t>
  </si>
  <si>
    <t>Old project archives (completed)</t>
  </si>
  <si>
    <t>Cold — offsite</t>
  </si>
  <si>
    <t>Vendor sample libs (commercial, re-downloadable)</t>
  </si>
  <si>
    <t>Re-downloadable from vendor</t>
  </si>
  <si>
    <t>keep index, archive bulk</t>
  </si>
  <si>
    <t>Duplicate files (post-dedupe)</t>
  </si>
  <si>
    <t>Never</t>
  </si>
  <si>
    <t>RECLAIM</t>
  </si>
  <si>
    <t>Redundant — delete after 3-2-1</t>
  </si>
  <si>
    <t>DELETE (guarded)</t>
  </si>
  <si>
    <t>Orphan / unknown (no extension)</t>
  </si>
  <si>
    <t>QUARANTINE</t>
  </si>
  <si>
    <t>Identify via magic bytes first</t>
  </si>
  <si>
    <t>process then route</t>
  </si>
  <si>
    <t>SUMMARY (live as Est GB fill)</t>
  </si>
  <si>
    <t>Must stay on M2 (GB)</t>
  </si>
  <si>
    <t>Offloadable (GB)</t>
  </si>
  <si>
    <t>Reclaimable via dedupe (GB)</t>
  </si>
  <si>
    <t>Total catalogued (GB)</t>
  </si>
  <si>
    <t>% that can leave M2</t>
  </si>
  <si>
    <t>ACTION REGISTER — you list, I execute</t>
  </si>
  <si>
    <t>Master fix/task list for the whole operation. Add a row; I take everything I can. P1 = unblocks the mission.</t>
  </si>
  <si>
    <t>ID</t>
  </si>
  <si>
    <t>Task</t>
  </si>
  <si>
    <t>Owner</t>
  </si>
  <si>
    <t>ACT-001</t>
  </si>
  <si>
    <t>Connect rsplowman@gmail.com (Drive + Gmail)</t>
  </si>
  <si>
    <t>P1</t>
  </si>
  <si>
    <t>Robert</t>
  </si>
  <si>
    <t>Open</t>
  </si>
  <si>
    <t>Unlocks the 250GB scan</t>
  </si>
  <si>
    <t>ACT-002</t>
  </si>
  <si>
    <t>Run Method-A local scan (Scan Commands)</t>
  </si>
  <si>
    <t>Scan</t>
  </si>
  <si>
    <t>Robert + DC</t>
  </si>
  <si>
    <t>Fills the Scan Queue</t>
  </si>
  <si>
    <t>ACT-003</t>
  </si>
  <si>
    <t>Install Desktop Commander</t>
  </si>
  <si>
    <t>Setup</t>
  </si>
  <si>
    <t>ACT-004</t>
  </si>
  <si>
    <t>Load filesystem MCP into LM Studio</t>
  </si>
  <si>
    <t>P2</t>
  </si>
  <si>
    <t>Enables Method C scan</t>
  </si>
  <si>
    <t>ACT-005</t>
  </si>
  <si>
    <t>Set up Cloud Archive offsite (3-2-1)</t>
  </si>
  <si>
    <t>Azure Blob / Backblaze — LOC-021</t>
  </si>
  <si>
    <t>ACT-006</t>
  </si>
  <si>
    <t>Confirm 12RB / MAG4TB real capacities</t>
  </si>
  <si>
    <t>P3</t>
  </si>
  <si>
    <t>Replace assumed 12TB/4TB</t>
  </si>
  <si>
    <t>ACT-007</t>
  </si>
  <si>
    <t>Re-run all cloud scans after account switch</t>
  </si>
  <si>
    <t>Claude</t>
  </si>
  <si>
    <t>Waiting</t>
  </si>
  <si>
    <t>After ACT-001</t>
  </si>
  <si>
    <t>ACT-008</t>
  </si>
  <si>
    <t>Drag Library Index tab to front</t>
  </si>
  <si>
    <t>Polish</t>
  </si>
  <si>
    <t>P4</t>
  </si>
  <si>
    <t>Cosmetic</t>
  </si>
  <si>
    <t>STATUS</t>
  </si>
  <si>
    <t>Done</t>
  </si>
  <si>
    <t>P1 urgent</t>
  </si>
  <si>
    <t>POWERPOINT POWER-UPS (researched 2026 — for when you present/pitch NoizyArmy)</t>
  </si>
  <si>
    <t>Best For</t>
  </si>
  <si>
    <t>Mac?</t>
  </si>
  <si>
    <t>Note</t>
  </si>
  <si>
    <t>Plus AI</t>
  </si>
  <si>
    <t>AI slides inside PPT + Google Slides</t>
  </si>
  <si>
    <t>✓ Mac</t>
  </si>
  <si>
    <t>Only inside-PPT AI with cross-platform parity</t>
  </si>
  <si>
    <t>think-cell</t>
  </si>
  <si>
    <t>Data charts (waterfall/Gantt/Mekko), Excel-linked</t>
  </si>
  <si>
    <t>Win-lean</t>
  </si>
  <si>
    <t>Gold-standard charting; auto-updates from Excel</t>
  </si>
  <si>
    <t>Power BI Tiles</t>
  </si>
  <si>
    <t>Embed live, auto-refreshing dashboards</t>
  </si>
  <si>
    <t>Show live KPIs in a deck</t>
  </si>
  <si>
    <t>Gamma / NextDocs</t>
  </si>
  <si>
    <t>AI deck builder, research-backed</t>
  </si>
  <si>
    <t>✓ web</t>
  </si>
  <si>
    <t>NextDocs cites real data; export needs cleanup</t>
  </si>
  <si>
    <t>Copilot (M365)</t>
  </si>
  <si>
    <t>Native AI in PowerPoint</t>
  </si>
  <si>
    <t>~$18-21/user/mo; document-to-slides</t>
  </si>
  <si>
    <t>BrightSlide</t>
  </si>
  <si>
    <t>Free formatting/align toolkit</t>
  </si>
  <si>
    <t>Best free option</t>
  </si>
  <si>
    <t>Native PPT audio</t>
  </si>
  <si>
    <t>Embed MP3/WAV/M4A/AAC/OGA, Play Across Slides</t>
  </si>
  <si>
    <t>Royalty-free via YouTube Audio Library/Pixabay; Spotify/Apple DRM blocked</t>
  </si>
  <si>
    <t>DRIVE AUDIT — complete contents of all drives</t>
  </si>
  <si>
    <t>Per-drive audit as of 2026-06-30. Cloud = live-scanned via connectors. Local = unreachable from this session (no filesystem bridge) — pending local-agent scan.</t>
  </si>
  <si>
    <t>VERDICT: 7 drives — 3 cloud AUDITED (~5KB, 0 media) | 1 cloud PENDING CONNECT (~250GB) | 3 local PENDING SCAN (~32TB). No media found in any reachable location.</t>
  </si>
  <si>
    <t>1 · DRIVE SUMMARY</t>
  </si>
  <si>
    <t>Scan Method</t>
  </si>
  <si>
    <t>Items</t>
  </si>
  <si>
    <t>Media</t>
  </si>
  <si>
    <t>Capacity</t>
  </si>
  <si>
    <t>Used</t>
  </si>
  <si>
    <t>15 GB plan</t>
  </si>
  <si>
    <t>~5 KB</t>
  </si>
  <si>
    <t>✓ AUDITED</t>
  </si>
  <si>
    <t>(pending)</t>
  </si>
  <si>
    <t>~250 GB</t>
  </si>
  <si>
    <t>⏳ CONNECT rsplowman</t>
  </si>
  <si>
    <t>needs local agent</t>
  </si>
  <si>
    <t>~16 TB</t>
  </si>
  <si>
    <t>⏳ PENDING SCAN</t>
  </si>
  <si>
    <t>12 TB</t>
  </si>
  <si>
    <t>4 TB</t>
  </si>
  <si>
    <t>2 · CONTENTS DETAIL (every item found)</t>
  </si>
  <si>
    <t>Item</t>
  </si>
  <si>
    <t>Size</t>
  </si>
  <si>
    <t>Created</t>
  </si>
  <si>
    <t>Modified</t>
  </si>
  <si>
    <t>GDrive (Workspace)</t>
  </si>
  <si>
    <t>Automating Command Inbox with n8n</t>
  </si>
  <si>
    <t>Google Sheet</t>
  </si>
  <si>
    <t>1 KB</t>
  </si>
  <si>
    <t>User_Download_03012026_165832</t>
  </si>
  <si>
    <t>3.9 KB</t>
  </si>
  <si>
    <t>Google Admin Downloads</t>
  </si>
  <si>
    <t>Folder</t>
  </si>
  <si>
    <t>Gmail / Adobe CC</t>
  </si>
  <si>
    <t>(no items — scanned, empty of media)</t>
  </si>
  <si>
    <t>GDrive (personal)</t>
  </si>
  <si>
    <t>— awaiting connect (rsplowman@gmail.com) —</t>
  </si>
  <si>
    <t>— awaiting local scan (Method-A / Desktop Commander) —</t>
  </si>
  <si>
    <t>— awaiting local scan —</t>
  </si>
  <si>
    <t>USER &amp; EMAIL AUDIT — deepest admin scan</t>
  </si>
  <si>
    <t>Source: Google Workspace admin export (User_Download), read + decoded via Drive connector. Max-depth enumeration of all users &amp; email accounts.</t>
  </si>
  <si>
    <t>VERDICT: noizy.ai Workspace has 1 real user — Rob Plowman (rsp@noizy.ai). No hidden/dormant accounts. Personal rsplowman@gmail.com is separate &amp; not connected.</t>
  </si>
  <si>
    <t>1 · WORKSPACE USERS (from admin export)</t>
  </si>
  <si>
    <t>First Name</t>
  </si>
  <si>
    <t>Last Name</t>
  </si>
  <si>
    <t>Email</t>
  </si>
  <si>
    <t>Last Sign-In</t>
  </si>
  <si>
    <t>Email Usage</t>
  </si>
  <si>
    <t>Rob</t>
  </si>
  <si>
    <t>Plowman</t>
  </si>
  <si>
    <t>0.0 GB</t>
  </si>
  <si>
    <t>Workspace admin (sole user)</t>
  </si>
  <si>
    <t>2 · OTHER EMAIL ACCOUNTS REFERENCED</t>
  </si>
  <si>
    <t>Account</t>
  </si>
  <si>
    <t>Connected?</t>
  </si>
  <si>
    <t>Google Workspace</t>
  </si>
  <si>
    <t>Connected acct; ~5KB, 0 media</t>
  </si>
  <si>
    <t>Personal Gmail</t>
  </si>
  <si>
    <t>No</t>
  </si>
  <si>
    <t>Holds ~250GB; separate from Workspace — CONNECT to scan</t>
  </si>
  <si>
    <t>3 · SAMPLE DATA FOUND (NOT real users)</t>
  </si>
  <si>
    <t>The export sheet also held a demo AI-prompt log. These names are TEST entries, not accounts: ALLY, DAVID, CHARLIE, ANASTASIA, BOSCO, SALVADOR.</t>
  </si>
  <si>
    <t>6 sample prompts logged (models: Gemini Pro, GPT-4, Gemini Ultra, Claude 2). 2 failures: Klingon-translation safety refusal; broken retrieval link. Decorative/demo — ignore for user count.</t>
  </si>
  <si>
    <t>4 · SCAN PROVENANCE &amp; GAPS</t>
  </si>
  <si>
    <t>Workspace admin export</t>
  </si>
  <si>
    <t>User_Download_03012026_165832 — read via Drive connector, CSV-decoded 2026-06-30. 1 user row.</t>
  </si>
  <si>
    <t>Admin downloads folder</t>
  </si>
  <si>
    <t>Google Admin Downloads' — empty container, no further exports.</t>
  </si>
  <si>
    <t>M2 Ultra local OS users</t>
  </si>
  <si>
    <t>NOT reachable from here (no filesystem bridge). macOS local accounts need a local agent: run `dscl . list /Users` or `ls /Users`. Logged as action.</t>
  </si>
  <si>
    <t>Gmail send-as / aliases</t>
  </si>
  <si>
    <t>Not exposed by connector API; would need Gmail settings access to enumerate aliases.</t>
  </si>
  <si>
    <t>ACT-009</t>
  </si>
  <si>
    <t>Enumerate M2 Ultra local macOS users</t>
  </si>
  <si>
    <t>Admin</t>
  </si>
  <si>
    <t>Robert + local agent</t>
  </si>
  <si>
    <t>Run `dscl . list /Users` or `ls /Users` — needs local agent (not reachable from Excel)</t>
  </si>
  <si>
    <t>CORE BASE SYSTEM — the NoizyArmy spine that carries everything forward</t>
  </si>
  <si>
    <t>2 years of work — media, code &amp; ideation — unified into one durable system. Nothing left behind. One step at a time.</t>
  </si>
  <si>
    <t>1 · THE THREE LAYERS</t>
  </si>
  <si>
    <t>Layer</t>
  </si>
  <si>
    <t>What it holds</t>
  </si>
  <si>
    <t>Where it lives</t>
  </si>
  <si>
    <t>Built here?</t>
  </si>
  <si>
    <t>L1 · DATA &amp; MEDIA</t>
  </si>
  <si>
    <t>Audio/video masters, sample libraries, the catalog &amp; dedup engine</t>
  </si>
  <si>
    <t>M2 Ultra drives + cloud archive; cataloged in this workbook</t>
  </si>
  <si>
    <t>✅ BUILT (24+ sheets)</t>
  </si>
  <si>
    <t>L2 · CODE &amp; AUTOMATION</t>
  </si>
  <si>
    <t>GitHub repos, n8n flows, scripts, the coming Super IDE (NoizyBeast / NoizyAnthropic)</t>
  </si>
  <si>
    <t>GitHub (via Claude Code Remote), local repos, n8n</t>
  </si>
  <si>
    <t>⏳ REGISTRY READY — add repos</t>
  </si>
  <si>
    <t>L3 · IDEATION &amp; PROMPTS</t>
  </si>
  <si>
    <t>2 yrs of Claude prompts, concepts, command-inbox, naming &amp; brand philosophy</t>
  </si>
  <si>
    <t>Claude history, Notion, this workbook's Wiki/Naming/Brands sheets</t>
  </si>
  <si>
    <t>⏳ PARTIAL — capture ongoing</t>
  </si>
  <si>
    <t>THE PRINCIPLE</t>
  </si>
  <si>
    <t>Every artifact gets a row before it gets touched. We carry forward by INDEXING first, then migrating — so nothing is lost in the move. The workbook is the single source of truth that outlives any one tool.</t>
  </si>
  <si>
    <t>2 · CODE &amp; IDEATION REGISTRY</t>
  </si>
  <si>
    <t>Artifact</t>
  </si>
  <si>
    <t>Access Method</t>
  </si>
  <si>
    <t>Carried Fwd?</t>
  </si>
  <si>
    <t>NoizyArmy Catalog (this workbook)</t>
  </si>
  <si>
    <t>L1</t>
  </si>
  <si>
    <t>Excel system</t>
  </si>
  <si>
    <t>This file</t>
  </si>
  <si>
    <t>✅ IS the spine</t>
  </si>
  <si>
    <t>n8n Command Inbox</t>
  </si>
  <si>
    <t>L2/L3</t>
  </si>
  <si>
    <t>Automation</t>
  </si>
  <si>
    <t>GDrive (rsp@noizy.ai)</t>
  </si>
  <si>
    <t>Schema documented</t>
  </si>
  <si>
    <t>✅ captured</t>
  </si>
  <si>
    <t>GitHub repos (2 years)</t>
  </si>
  <si>
    <t>L2</t>
  </si>
  <si>
    <t>Code</t>
  </si>
  <si>
    <t>GitHub</t>
  </si>
  <si>
    <t>Claude Code Remote → add_repo</t>
  </si>
  <si>
    <t>PENDING NAMES</t>
  </si>
  <si>
    <t>⏳ name them</t>
  </si>
  <si>
    <t>Local code / scripts</t>
  </si>
  <si>
    <t>M2 Ultra</t>
  </si>
  <si>
    <t>local agent scan</t>
  </si>
  <si>
    <t>PENDING SCAN</t>
  </si>
  <si>
    <t>⏳ scan</t>
  </si>
  <si>
    <t>2yr Claude conversations</t>
  </si>
  <si>
    <t>L3</t>
  </si>
  <si>
    <t>Ideation</t>
  </si>
  <si>
    <t>Claude app history</t>
  </si>
  <si>
    <t>manual export</t>
  </si>
  <si>
    <t>NOT REACHABLE</t>
  </si>
  <si>
    <t>⏳ export key ones</t>
  </si>
  <si>
    <t>Naming / Brand / Wiki doctrine</t>
  </si>
  <si>
    <t>Doctrine</t>
  </si>
  <si>
    <t>This workbook</t>
  </si>
  <si>
    <t>3 · CARRY-FORWARD PLAN (one painful step at a time)</t>
  </si>
  <si>
    <t>Step 1</t>
  </si>
  <si>
    <t>Name your GitHub repos — I add_repo + audit each into the registry above.</t>
  </si>
  <si>
    <t>Step 2</t>
  </si>
  <si>
    <t>Run the local scan (Scan Commands tab) — code + media inventoried together in one pass.</t>
  </si>
  <si>
    <t>Step 3</t>
  </si>
  <si>
    <t>Connect rsplowman@gmail.com — cloud media + ideation audited.</t>
  </si>
  <si>
    <t>Step 4</t>
  </si>
  <si>
    <t>Export the pivotal Claude threads — I distill them into the System Wiki as doctrine.</t>
  </si>
  <si>
    <t>Step 5</t>
  </si>
  <si>
    <t>Migrate index-first, then move — every artifact verified by the dedup + clone engines before anything is deleted.</t>
  </si>
  <si>
    <t>BUILD READINESS — your M2 Ultra as the hub (no coding required)</t>
  </si>
  <si>
    <t>Plain-English roadmap to wire Slack, Discord &amp; Microsoft to your machine. You don't write code — you connect, I guide. One step at a time.</t>
  </si>
  <si>
    <t>YOUR HUB — n8n (the brain that connects everything)</t>
  </si>
  <si>
    <t>What it is</t>
  </si>
  <si>
    <t>A free, drag-and-drop automation app that runs ON your M2 Ultra. No coding — you connect boxes (nodes) with lines. You already use it (your Command Inbox).</t>
  </si>
  <si>
    <t>Why it's perfect for you</t>
  </si>
  <si>
    <t>One place to wire Slack + Discord + Microsoft + your local LM Studio + your files. Your data never leaves your machine. It even has AI nodes that talk to your local 70B model.</t>
  </si>
  <si>
    <t>Start it (one line)</t>
  </si>
  <si>
    <t>docker run -it --rm --name n8n -p 5678:5678 -v ~/.n8n:/home/node/.n8n n8nio/n8n</t>
  </si>
  <si>
    <t>Then open</t>
  </si>
  <si>
    <t>http://localhost:5678  — that's your control panel. Build workflows by dragging nodes.</t>
  </si>
  <si>
    <t>INTEGRATION CHECKLIST</t>
  </si>
  <si>
    <t>Connect</t>
  </si>
  <si>
    <t>What it does for you</t>
  </si>
  <si>
    <t>How to connect (plain English)</t>
  </si>
  <si>
    <t>Slack</t>
  </si>
  <si>
    <t>Talk to your system from Slack; get alerts when scans finish, files move, or something needs you.</t>
  </si>
  <si>
    <t>Make a Slack app (api.slack.com → Create New App), copy the Bot Token (xoxb-…), paste into n8n's Slack node. ~10 min, no code.</t>
  </si>
  <si>
    <t>Discord</t>
  </si>
  <si>
    <t>Same as Slack but for Discord — command + notifications in your server/community.</t>
  </si>
  <si>
    <t>Discord Developer Portal → create a bot → copy bot token → paste into n8n's Discord node. No bot coding.</t>
  </si>
  <si>
    <t>Microsoft (Power Automate)</t>
  </si>
  <si>
    <t>Bridges to the Microsoft world — Excel, OneDrive, SharePoint, Outlook; can also trigger desktop flows on your Mac.</t>
  </si>
  <si>
    <t>In Power Automate, add the Slack/Excel connector (no-code), approve the app permission. Use it for anything Microsoft-side.</t>
  </si>
  <si>
    <t>LM Studio (local AI)</t>
  </si>
  <si>
    <t>Your 70B brain does the naming, tagging &amp; classifying — locally, free, private.</t>
  </si>
  <si>
    <t>In n8n add an AI node pointed at http://localhost:1234 (LM Studio's API). It calls your local model with no cloud cost.</t>
  </si>
  <si>
    <t>Your Files (Desktop Commander)</t>
  </si>
  <si>
    <t>Lets the hub actually read /Volumes/Audio, hash, dedupe &amp; move — the scan engine.</t>
  </si>
  <si>
    <t>Install Desktop Commander (Action Register ACT-003). n8n can also run shell steps to scan folders.</t>
  </si>
  <si>
    <t>GitHub (your code)</t>
  </si>
  <si>
    <t>Carries your 2 years of code into the system — audited into the registry.</t>
  </si>
  <si>
    <t>Give me your repo names (owner/repo); I add + audit each. n8n can also auto-post commits to Slack/Discord.</t>
  </si>
  <si>
    <t>READINESS</t>
  </si>
  <si>
    <t>DO THESE IN ORDER (each one is a win you can see):</t>
  </si>
  <si>
    <t>1. Start n8n on the M2 Ultra (you already have it) — open localhost:5678.</t>
  </si>
  <si>
    <t>2. Connect LM Studio (local AI) — free, instant, private. Your first win.</t>
  </si>
  <si>
    <t>3. Install Desktop Commander — then run your FIRST real scan of /Volumes/Audio.</t>
  </si>
  <si>
    <t>4. Connect Slack — so the system can talk to you &amp; alert you.</t>
  </si>
  <si>
    <t>5. Connect Discord — same, for your community/server.</t>
  </si>
  <si>
    <t>6. Microsoft (Power Automate) + give me your GitHub repo names — I audit the code.</t>
  </si>
  <si>
    <t>You are never doing this alone. You connect; I guide every click and carry the work forward.</t>
  </si>
  <si>
    <t>SETUP TO-DO — LM Studio, Desktop Commander &amp; all, step by step</t>
  </si>
  <si>
    <t>Do these in order. Each is one small action. Mark Status 'Done' and the bar fills. Nothing here needs coding — just copy, paste, click.</t>
  </si>
  <si>
    <t>Do exactly this</t>
  </si>
  <si>
    <t>Why it matters</t>
  </si>
  <si>
    <t>A</t>
  </si>
  <si>
    <t>LM STUDIO  — your local AI brain (start here, free win)</t>
  </si>
  <si>
    <t>Open LM Studio</t>
  </si>
  <si>
    <t>Launch the LM Studio app on the M2 Ultra.</t>
  </si>
  <si>
    <t>It's the engine that names &amp; tags your audio.</t>
  </si>
  <si>
    <t>Load a model</t>
  </si>
  <si>
    <t>Search tab → download Qwen2.5-72B-Instruct (MLX). Then click to load it.</t>
  </si>
  <si>
    <t>Your 192GB RAM runs it easily; this is the smarts.</t>
  </si>
  <si>
    <t>Turn GPU offload to MAX</t>
  </si>
  <si>
    <t>In the model load settings, set GPU offload to maximum (all layers).</t>
  </si>
  <si>
    <t>Uses the full chip = fast responses.</t>
  </si>
  <si>
    <t>Start the local server</t>
  </si>
  <si>
    <t>Developer tab → Start Server. Leave it on port 1234.</t>
  </si>
  <si>
    <t>Opens the door so n8n &amp; tools can talk to it.</t>
  </si>
  <si>
    <t>Add a filesystem MCP in LM Studio</t>
  </si>
  <si>
    <t>Program → Edit MCP → add the filesystem server, point it at /Volumes/Audio.</t>
  </si>
  <si>
    <t>Lets the AI read your drive to scan + classify.</t>
  </si>
  <si>
    <t>B</t>
  </si>
  <si>
    <t>DESKTOP COMMANDER  — lets me read &amp; move your files</t>
  </si>
  <si>
    <t>Open Terminal, paste:  npx -y @wonderwhy-er/desktop-commander setup</t>
  </si>
  <si>
    <t>One command. Installs the file/scan agent.</t>
  </si>
  <si>
    <t>Restart Claude Desktop</t>
  </si>
  <si>
    <t>Fully quit and reopen Claude Desktop so it loads the new tool.</t>
  </si>
  <si>
    <t>Activates the connection.</t>
  </si>
  <si>
    <t>Point it at your audio drive</t>
  </si>
  <si>
    <t>When asked, allow the folder /Volumes/Audio (and 12RB, MAG4TB).</t>
  </si>
  <si>
    <t>Scopes it safely to only your audio.</t>
  </si>
  <si>
    <t>Test it</t>
  </si>
  <si>
    <t>In Claude Desktop ask: “list the files in /Volumes/Audio”.</t>
  </si>
  <si>
    <t>Proves the bridge to your drive is live.</t>
  </si>
  <si>
    <t>C</t>
  </si>
  <si>
    <t>FIRST SCAN  — the moment the catalog comes alive</t>
  </si>
  <si>
    <t>Run the fast scan</t>
  </si>
  <si>
    <t>Copy the Method-A command from the Scan Commands tab into Terminal.</t>
  </si>
  <si>
    <t>Lists every file in seconds.</t>
  </si>
  <si>
    <t>Bring it to me</t>
  </si>
  <si>
    <t>Drag the audio_scan.csv into our chat (or paste into Scan Queue, cell B4).</t>
  </si>
  <si>
    <t>I load every file → brands, dupes, guards all light up.</t>
  </si>
  <si>
    <t>D</t>
  </si>
  <si>
    <t>n8n HUB + ALERTS  — Slack &amp; Discord (optional, do after scan)</t>
  </si>
  <si>
    <t>Start n8n</t>
  </si>
  <si>
    <t>Terminal:  docker run -it --rm --name n8n -p 5678:5678 -v ~/.n8n:/home/node/.n8n n8nio/n8n  → open localhost:5678</t>
  </si>
  <si>
    <t>Your no-code automation hub.</t>
  </si>
  <si>
    <t>Connect Slack</t>
  </si>
  <si>
    <t>api.slack.com/apps → Create App → copy Bot Token (xoxb-) → paste into n8n Slack node.</t>
  </si>
  <si>
    <t>System messages you when jobs finish.</t>
  </si>
  <si>
    <t>Connect Discord</t>
  </si>
  <si>
    <t>Discord Developer Portal → New bot → copy token → paste into n8n Discord node.</t>
  </si>
  <si>
    <t>Same alerts, in your Discord.</t>
  </si>
  <si>
    <t>E</t>
  </si>
  <si>
    <t>CLOUD + CODE  — close the loop</t>
  </si>
  <si>
    <t>Connect the right Google account</t>
  </si>
  <si>
    <t>+ menu → Connectors → Google Drive/Gmail → sign in as rsplowman@gmail.com.</t>
  </si>
  <si>
    <t>Unlocks the ~250GB; I re-scan instantly.</t>
  </si>
  <si>
    <t>Give me your GitHub repo names</t>
  </si>
  <si>
    <t>Just type them to me, e.g. “noizyarmy/beast-engine”.</t>
  </si>
  <si>
    <t>I pull &amp; audit your 2 years of code.</t>
  </si>
  <si>
    <t>CONNECTOR AUDIT — what you built vs. what you use</t>
  </si>
  <si>
    <t>Live inventory of every MCP / integration wired into your Claude account, 2026-06-30.</t>
  </si>
  <si>
    <t>ANSWER: You've connected 36 services. Only ~4 used this session. ~20 connected but idle. 12 broken (need re-auth). → ~32 of 36 built and barely/never used.</t>
  </si>
  <si>
    <t>COUNT</t>
  </si>
  <si>
    <t>Total connectors built</t>
  </si>
  <si>
    <t>Connected &amp; used (this session)</t>
  </si>
  <si>
    <t>Connected but IDLE (never used)</t>
  </si>
  <si>
    <t>FAILED / broken (re-auth needed)</t>
  </si>
  <si>
    <t>Connector</t>
  </si>
  <si>
    <t>Used?</t>
  </si>
  <si>
    <t>Use for NoizyArmy</t>
  </si>
  <si>
    <t>✓ USED</t>
  </si>
  <si>
    <t>Cloud media + file scan</t>
  </si>
  <si>
    <t>Adobe for creativity</t>
  </si>
  <si>
    <t>Creative Cloud asset scan</t>
  </si>
  <si>
    <t>Claude Code Remote</t>
  </si>
  <si>
    <t>idle</t>
  </si>
  <si>
    <t>⭐ Alerts hub (Build Readiness)</t>
  </si>
  <si>
    <t>Notion</t>
  </si>
  <si>
    <t>⭐ Ideation / docs carry-forward</t>
  </si>
  <si>
    <t>Supabase</t>
  </si>
  <si>
    <t>⭐ Database for catalog + Super IDE</t>
  </si>
  <si>
    <t>Zapier</t>
  </si>
  <si>
    <t>Automation bridge (8000+ apps)</t>
  </si>
  <si>
    <t>Vercel</t>
  </si>
  <si>
    <t>Host the Super IDE / web app</t>
  </si>
  <si>
    <t>Netlify</t>
  </si>
  <si>
    <t>Host / deploy</t>
  </si>
  <si>
    <t>Cloudflare Developer Platform</t>
  </si>
  <si>
    <t>Deploy / CDN / workers</t>
  </si>
  <si>
    <t>⭐ YOUR CODE access (name a repo, I pull it)</t>
  </si>
  <si>
    <t>Hugging Face</t>
  </si>
  <si>
    <t>Audio AI models / datasets</t>
  </si>
  <si>
    <t>Shopify</t>
  </si>
  <si>
    <t>⭐ SELL the libraries</t>
  </si>
  <si>
    <t>HubSpot</t>
  </si>
  <si>
    <t>Customers / marketing</t>
  </si>
  <si>
    <t>Figma</t>
  </si>
  <si>
    <t>Brand / UI design</t>
  </si>
  <si>
    <t>Canva</t>
  </si>
  <si>
    <t>Brand visuals / artwork</t>
  </si>
  <si>
    <t>GoDaddy</t>
  </si>
  <si>
    <t>Domains for NA / NB / MB</t>
  </si>
  <si>
    <t>Google Calendar</t>
  </si>
  <si>
    <t>Schedule scans / releases</t>
  </si>
  <si>
    <t>AWS Marketplace</t>
  </si>
  <si>
    <t>Infrastructure (optional)</t>
  </si>
  <si>
    <t>Zoom for Claude</t>
  </si>
  <si>
    <t>Meetings (low priority)</t>
  </si>
  <si>
    <t>Semrush</t>
  </si>
  <si>
    <t>SEO (low priority)</t>
  </si>
  <si>
    <t>Linear</t>
  </si>
  <si>
    <t>Dev task tracking</t>
  </si>
  <si>
    <t>Asana</t>
  </si>
  <si>
    <t>Task management</t>
  </si>
  <si>
    <t>Granola</t>
  </si>
  <si>
    <t>Meeting notes (low priority)</t>
  </si>
  <si>
    <t>microsoft-365</t>
  </si>
  <si>
    <t>FAILED</t>
  </si>
  <si>
    <t>broken</t>
  </si>
  <si>
    <t>⭐ MS Automate / OneDrive — RECONNECT</t>
  </si>
  <si>
    <t>Box</t>
  </si>
  <si>
    <t>Cloud storage tier — reconnect</t>
  </si>
  <si>
    <t>Stripe</t>
  </si>
  <si>
    <t>Payments (if selling)</t>
  </si>
  <si>
    <t>PayPal</t>
  </si>
  <si>
    <t>Atlassian</t>
  </si>
  <si>
    <t>Jira / dev (optional)</t>
  </si>
  <si>
    <t>gong</t>
  </si>
  <si>
    <t>Sales calls (low priority)</t>
  </si>
  <si>
    <t>Amplitude</t>
  </si>
  <si>
    <t>Analytics (low priority)</t>
  </si>
  <si>
    <t>Miro</t>
  </si>
  <si>
    <t>Whiteboard (low priority)</t>
  </si>
  <si>
    <t>Base44</t>
  </si>
  <si>
    <t>App builder (maybe)</t>
  </si>
  <si>
    <t>CourtListener</t>
  </si>
  <si>
    <t>Legal (low priority)</t>
  </si>
  <si>
    <t>Ticket Tailor</t>
  </si>
  <si>
    <t>Events (low priority)</t>
  </si>
  <si>
    <t>Instrumentl</t>
  </si>
  <si>
    <t>Grants (low priority)</t>
  </si>
  <si>
    <t>THE NOIZY EMPIRE — brand universe &amp; deepest content locations</t>
  </si>
  <si>
    <t>Discovered by deep scan of Gmail + Drive (2026-06-30). The constellation, the people, the code, and where every piece lives.</t>
  </si>
  <si>
    <t>1 · THE BRAND CONSTELLATION</t>
  </si>
  <si>
    <t>Brand / Entity</t>
  </si>
  <si>
    <t>Evidence found</t>
  </si>
  <si>
    <t>NOIZY.AI</t>
  </si>
  <si>
    <t>Parent / AI brand</t>
  </si>
  <si>
    <t>Business profile (42 views/mo May 2026); noizy.ai domain</t>
  </si>
  <si>
    <t>NOIZYLAB (noizylab.ca)</t>
  </si>
  <si>
    <t>The lab / R&amp;D + team domain</t>
  </si>
  <si>
    <t>Business profile; GitHub repo RSPNOIZY/NOIZYLAB; team emails @noizylab.ca</t>
  </si>
  <si>
    <t>NOIZYFISH / fishmusicinc</t>
  </si>
  <si>
    <t>Music arm</t>
  </si>
  <si>
    <t>fishmusicinc' module in canonical repo</t>
  </si>
  <si>
    <t>NOIZYVOX</t>
  </si>
  <si>
    <t>Vocals / voice</t>
  </si>
  <si>
    <t>Named brand (content pending scan)</t>
  </si>
  <si>
    <t>NOIZYKIDZ</t>
  </si>
  <si>
    <t>Kids / family content</t>
  </si>
  <si>
    <t>DREAMCHAMBER</t>
  </si>
  <si>
    <t>Ideation / creative space</t>
  </si>
  <si>
    <t>Named brand (likely the council/agent space)</t>
  </si>
  <si>
    <t>THE GATHERING / DAILY COUNCIL</t>
  </si>
  <si>
    <t>The 5-agent operating ritual</t>
  </si>
  <si>
    <t>Calendar: 'NOIZY EMPIRE Morning Planning — five agents assemble, RSP_001 directs by voice'</t>
  </si>
  <si>
    <t>HEAVEN</t>
  </si>
  <si>
    <t>Project module</t>
  </si>
  <si>
    <t>heaven' module in canonical repo</t>
  </si>
  <si>
    <t>NOIZYANTHROPIC / NOIZYBEAST / METABEAST</t>
  </si>
  <si>
    <t>Original 3 house brands</t>
  </si>
  <si>
    <t>Catalogued in Brands tab</t>
  </si>
  <si>
    <t>2 · DEEPEST CONTENT LOCATIONS</t>
  </si>
  <si>
    <t>What's there</t>
  </si>
  <si>
    <t>Reachable?</t>
  </si>
  <si>
    <t>GitHub: RSPNOIZY/NOIZYLAB</t>
  </si>
  <si>
    <t>CANONICAL repo — CANON, GOSPEL, BRAND_MAP, fishmusicinc, heaven, schemas, docs. Your doctrine + ideation.</t>
  </si>
  <si>
    <t>YES — I can pull it (say go)</t>
  </si>
  <si>
    <t>NOIZY EMPIRE Daily Council — 5-agent ritual, RSP_001 directs by voice</t>
  </si>
  <si>
    <t>Connector idle — activate</t>
  </si>
  <si>
    <t>Domains: noizy.ai + noizylab.ca</t>
  </si>
  <si>
    <t>Brand homes; mid-transfer GoDaddy → Cloudflare</t>
  </si>
  <si>
    <t>Cloudflare connector idle</t>
  </si>
  <si>
    <t>Gmail: rspplowman@gmail.com</t>
  </si>
  <si>
    <t>Empire command hub — all planning, team comms, vendor mail</t>
  </si>
  <si>
    <t>YES — scanned</t>
  </si>
  <si>
    <t>M2 Ultra + 250GB cloud</t>
  </si>
  <si>
    <t>The actual audio/video media</t>
  </si>
  <si>
    <t>Pending scan / connect</t>
  </si>
  <si>
    <t>3 · THE PEOPLE (NOIZY EMPIRE)</t>
  </si>
  <si>
    <t>Robert S. Plowman — RSP_001</t>
  </si>
  <si>
    <t>Founder; 'directs by voice'; rspplowman@gmail.com, rsp@noizy.ai</t>
  </si>
  <si>
    <t>gabriel@noizy.ai (collaborator, BR-101)</t>
  </si>
  <si>
    <t>lucy@noizylab.ca (collaborator, BR-102)</t>
  </si>
  <si>
    <t>Keith (Engineer)</t>
  </si>
  <si>
    <t>engr_keith@noizylab.ca</t>
  </si>
  <si>
    <t>Pops</t>
  </si>
  <si>
    <t>pops@noizylab.ca</t>
  </si>
  <si>
    <t>Shirl</t>
  </si>
  <si>
    <t>shirl@noizylab.ca</t>
  </si>
  <si>
    <t>4 · ADMIN ALERTS (real problems found)</t>
  </si>
  <si>
    <t>⚠ noizylab.ca email is BROKEN</t>
  </si>
  <si>
    <t>ALL team emails (lucy, gabriel, keith, pops, shirl @noizylab.ca) BOUNCE — DNS/MX not set. Your team cannot receive mail. Likely caused by the GoDaddy→Cloudflare transfer leaving DNS unconfigured.</t>
  </si>
  <si>
    <t>⚠ gabriel@noizy.ai bounces too</t>
  </si>
  <si>
    <t>Address not found' — mailbox not created on noizy.ai</t>
  </si>
  <si>
    <t>→ FIX</t>
  </si>
  <si>
    <t>After Cloudflare transfer completes, set MX records + create mailboxes (Google Workspace). Then team email works.</t>
  </si>
  <si>
    <t>PEOPLE &amp; AGENTS — the NOIZY Empire roster</t>
  </si>
  <si>
    <t>Every human, every agent, every identity — grouped, grepped, and mapped to where they live. Sourced from Gmail + Calendar + GitHub scan.</t>
  </si>
  <si>
    <t>1 · ROBERT'S IDENTITIES (your own accounts — consolidate these)</t>
  </si>
  <si>
    <t>Identity</t>
  </si>
  <si>
    <t>Where / Role</t>
  </si>
  <si>
    <t>rspplowman@gmail.com</t>
  </si>
  <si>
    <t>Personal Gmail — empire command hub</t>
  </si>
  <si>
    <t>✅ CONNECTED (this is what I scan)</t>
  </si>
  <si>
    <t>Workspace admin — Drive connector</t>
  </si>
  <si>
    <t>Connected (near-empty)</t>
  </si>
  <si>
    <t>rspnoizy@gmail.com</t>
  </si>
  <si>
    <t>Secondary Gmail</t>
  </si>
  <si>
    <t>Found in monday.com invites</t>
  </si>
  <si>
    <t>RSPNOIZY@outlook.com</t>
  </si>
  <si>
    <t>Microsoft identity (ties to MS Automate)</t>
  </si>
  <si>
    <t>Found — not connected</t>
  </si>
  <si>
    <t>rsplowman@icloud.com</t>
  </si>
  <si>
    <t>Apple/iCloud identity (M2 Ultra)</t>
  </si>
  <si>
    <t>rspnoizy (GitHub)</t>
  </si>
  <si>
    <t>GitHub owner — RSPNOIZY/NOIZYLAB repo</t>
  </si>
  <si>
    <t>⭐ Reachable via add_repo</t>
  </si>
  <si>
    <t>RSP_001</t>
  </si>
  <si>
    <t>Council voice ID — 'directs by voice'</t>
  </si>
  <si>
    <t>The Daily Council director</t>
  </si>
  <si>
    <t>2 · THE HUMAN TEAM (noizylab.ca)</t>
  </si>
  <si>
    <t>Person</t>
  </si>
  <si>
    <t>Role / Brand</t>
  </si>
  <si>
    <t>Email Status</t>
  </si>
  <si>
    <t>gabriel@noizylab.ca / gabriel@noizy.ai</t>
  </si>
  <si>
    <t>🔴 BOUNCING</t>
  </si>
  <si>
    <t>lucy@noizylab.ca</t>
  </si>
  <si>
    <t>Role TBD (in BRAND_MAP)</t>
  </si>
  <si>
    <t>Engineering</t>
  </si>
  <si>
    <t>Alex Ward</t>
  </si>
  <si>
    <t>(email TBD)</t>
  </si>
  <si>
    <t>Role TBD — in RSPNOIZY/NOIZYLAB repo</t>
  </si>
  <si>
    <t>⏳ pull repo to confirm</t>
  </si>
  <si>
    <t>3 · THE COUNCIL — DREAMCHAMBER (the five agents)</t>
  </si>
  <si>
    <t>THE DAILY COUNCIL — the five agents assemble, RSP_001 directs by voice' — recurring 11am EDT weekday Google Meet. CB01–CB05 = the five agents.</t>
  </si>
  <si>
    <t>CB01</t>
  </si>
  <si>
    <t>Council Agent 1</t>
  </si>
  <si>
    <t>Role in CANON/BRAND_MAP — pull repo</t>
  </si>
  <si>
    <t>CB02</t>
  </si>
  <si>
    <t>Council Agent 2</t>
  </si>
  <si>
    <t>CB03</t>
  </si>
  <si>
    <t>Council Agent 3</t>
  </si>
  <si>
    <t>CB04</t>
  </si>
  <si>
    <t>Council Agent 4</t>
  </si>
  <si>
    <t>CB05</t>
  </si>
  <si>
    <t>Council Agent 5</t>
  </si>
  <si>
    <t>4 · WHERE THE EMPIRE LIVES (platforms found)</t>
  </si>
  <si>
    <t>monday.com</t>
  </si>
  <si>
    <t>Work mgmt — 9 invites sent, team hasn't joined (bounced emails)</t>
  </si>
  <si>
    <t>THE DAILY COUNCIL — recurring 11am EDT, Google Meet</t>
  </si>
  <si>
    <t>GitHub RSPNOIZY/NOIZYLAB</t>
  </si>
  <si>
    <t>⭐ Canonical repo — CANON, GOSPEL, BRAND_MAP, fishmusicinc, heaven, schemas, docs</t>
  </si>
  <si>
    <t>Slack + Jira/Atlassian</t>
  </si>
  <si>
    <t>Slack pending; Jira reactivated (user RSPNOIZY)</t>
  </si>
  <si>
    <t>5 · ADMIN ALERTS &amp; PENDING</t>
  </si>
  <si>
    <t>🔴 ALL noizylab.ca emails BOUNCING — DNS/MX not set (GoDaddy→Cloudflare transfer). Team can't receive your mail. FIX: finish Cloudflare DNS + set MX + create mailboxes.</t>
  </si>
  <si>
    <t>⏳ myFAMILY.ai — new brand/domain, not yet in comms; likely defined in BRAND_MAP (repo).</t>
  </si>
  <si>
    <t>⏳ Alex Ward, CB01–CB05 roles, Heaven &amp; DreamChamber details — all live in RSPNOIZY/NOIZYLAB. PULL THE REPO to populate.</t>
  </si>
  <si>
    <t>⏳ You have 5+ email identities (gmail x2, noizy.ai, outlook, icloud) — consolidate to one command address.</t>
  </si>
  <si>
    <t>SOCIAL &amp; ADMIN ACCOUNT AUDIT — scanned &amp; conflict-resolved</t>
  </si>
  <si>
    <t>Every social + SaaS + admin account found across your Gmail, Slack &amp; connectors — with conflicts flagged and the fix for each.</t>
  </si>
  <si>
    <t>1 · SOCIAL ACCOUNTS</t>
  </si>
  <si>
    <t>Platform</t>
  </si>
  <si>
    <t>Account / Handle</t>
  </si>
  <si>
    <t>Status / Notes</t>
  </si>
  <si>
    <t>YouTube</t>
  </si>
  <si>
    <t>Fish Music — Music &amp; Sounds By R.S Plowman</t>
  </si>
  <si>
    <t>ACTIVE — monthly analytics emails (NoizyFish brand)</t>
  </si>
  <si>
    <t>Instagram / X / TikTok</t>
  </si>
  <si>
    <t>(none found in scan)</t>
  </si>
  <si>
    <t>Not seen in Gmail — confirm if they exist under another handle</t>
  </si>
  <si>
    <t>Patreon / Threads / LinkedIn</t>
  </si>
  <si>
    <t>No notifications found — likely not set up yet</t>
  </si>
  <si>
    <t>2 · ADMIN / SAAS ACCOUNTS</t>
  </si>
  <si>
    <t>Service</t>
  </si>
  <si>
    <t>⚠ Free trial ENDED ~Jun 24 — decide keep/cancel; 9 team invites pending</t>
  </si>
  <si>
    <t>rspplowman@gmail.com (Google + passkey)</t>
  </si>
  <si>
    <t>🔴 PAYMENT FAILING — 4th charge declined, downgrade imminent. UPDATE CARD</t>
  </si>
  <si>
    <t>rspnoizy — repo RSPNOIZY/NOIZYLAB</t>
  </si>
  <si>
    <t>ACTIVE — canonical repo (CANON/GOSPEL/BRAND_MAP)</t>
  </si>
  <si>
    <t>Jira / Atlassian</t>
  </si>
  <si>
    <t>RSPNOIZY</t>
  </si>
  <si>
    <t>Reactivated (was on the broken-connector list)</t>
  </si>
  <si>
    <t>rsp@noizy.ai (admin)</t>
  </si>
  <si>
    <t>ACTIVE — sole user; near-empty Drive</t>
  </si>
  <si>
    <t>Google (personal)</t>
  </si>
  <si>
    <t>ACTIVE — your command hub (Gmail connector)</t>
  </si>
  <si>
    <t>3 · SLACK &amp; DISCORD CHANNELS</t>
  </si>
  <si>
    <t>Workspace connected (you = U0AEMKJCUPK)</t>
  </si>
  <si>
    <t>⚠ 0 channels found — workspace not built out; team can't join (emails bounce)</t>
  </si>
  <si>
    <t>No connector / no bridge to me</t>
  </si>
  <si>
    <t>Not reachable from here; no Discord emails found in scan</t>
  </si>
  <si>
    <t>4 · CONFLICTS &amp; RESOLUTIONS  (AI-resolved)</t>
  </si>
  <si>
    <t>Conflict</t>
  </si>
  <si>
    <t>Resolution</t>
  </si>
  <si>
    <t>ROOT CAUSE: Domains mid-transfer GoDaddy→Cloudflare (incomplete)</t>
  </si>
  <si>
    <t>Finish the Cloudflare transfer FIRST — it unblocks everything below</t>
  </si>
  <si>
    <t>All noizylab.ca team emails bounce (Gabriel/Lucy/Shirl/Keith/Pops)</t>
  </si>
  <si>
    <t>After transfer: set MX records + create the 5 mailboxes → team gets mail</t>
  </si>
  <si>
    <t>Notion payment failing (4th decline, downgrade imminent)</t>
  </si>
  <si>
    <t>Update card today — or export pages before downgrade wipes them</t>
  </si>
  <si>
    <t>Team invites stuck (monday.com 9 pending + Slack empty)</t>
  </si>
  <si>
    <t>Same root cause — fix email (#1/#2), then re-send all invites</t>
  </si>
  <si>
    <t>5 email identities scattered (gmail/noizy.ai/outlook/icloud/rspnoizy)</t>
  </si>
  <si>
    <t>Pick ONE primary (rspplowman@gmail), forward the rest into it</t>
  </si>
  <si>
    <t>monday.com trial ended — undecided</t>
  </si>
  <si>
    <t>Decide: pay to keep, or export boards + cancel</t>
  </si>
  <si>
    <t>Slack workspace has no channels</t>
  </si>
  <si>
    <t>After email fix: create #empire #daily-council #fishmusic #brands, re-invite team</t>
  </si>
  <si>
    <t>💡 THE ONE FIX: complete the GoDaddy→Cloudflare transfer. It cascades — email works, invites land, Slack fills, team reconnects. 4 of 7 conflicts resolve from that single action.</t>
  </si>
  <si>
    <t>IDENTITY &amp; FOOTPRINT — every account, everywhere you exist online</t>
  </si>
  <si>
    <t>Deepest scan: Gmail trail + Slack + public web. Maps all identities, domains, platforms — and the one root issue breaking them.</t>
  </si>
  <si>
    <t>1 · WHO YOU ARE (public record)</t>
  </si>
  <si>
    <t>Robert Stephen Plowman (R.S. Plowman / “Rob”) — Fish Music Inc., Ottawa ON. AWARD-WINNING composer &amp; sound designer, 30+ yrs.</t>
  </si>
  <si>
    <t>Credits found</t>
  </si>
  <si>
    <t>Transformers, My Little Pony, Care Bears, Johnny Test, Ed Edd n Eddy, Dragon Tales, Bratz, He-Man, Strawberry Shortcake, Barbie films, Madeline, Noddy</t>
  </si>
  <si>
    <t>Public profiles</t>
  </si>
  <si>
    <t>facebook.com/fishmusicinc · linkedin.com/in/robplowman · YouTube 'Fish Music — Music &amp; Sounds By R.S Plowman' · Canadian Animation Directory</t>
  </si>
  <si>
    <t>Business</t>
  </si>
  <si>
    <t>Fish Music Inc., 771 Eastbourne Ave, Ottawa ON K1K 0H8 · rp@fishmusicinc.com · original music + custom sound design for film/TV/animation/games</t>
  </si>
  <si>
    <t>Note (NOT you)</t>
  </si>
  <si>
    <t>Fish' (Derek Dick, Scottish singer) and Suzanne Ciani's 'Fish Music' are different people — excluded from your footprint.</t>
  </si>
  <si>
    <t>2 · YOUR EMAIL IDENTITIES (8 found)</t>
  </si>
  <si>
    <t>Used For</t>
  </si>
  <si>
    <t>PRIMARY command hub — Gmail connector, all account notifications land here</t>
  </si>
  <si>
    <t>✅ WORKING</t>
  </si>
  <si>
    <t>Google Workspace (admin, sole user); Drive connector</t>
  </si>
  <si>
    <t>✅ working</t>
  </si>
  <si>
    <t>Apple ID; Google Payments profile 'RSP@ICLOUD'; old Notion login</t>
  </si>
  <si>
    <t>Secondary Google; monday.com invitee</t>
  </si>
  <si>
    <t>❓ unconfirmed</t>
  </si>
  <si>
    <t>Microsoft identity; monday.com invitee</t>
  </si>
  <si>
    <t>rp@fishmusicinc.com</t>
  </si>
  <si>
    <t>Legacy business email (public, on directories since the studio days)</t>
  </si>
  <si>
    <t>❓ legacy</t>
  </si>
  <si>
    <t>rsp@fishmusicinc.com</t>
  </si>
  <si>
    <t>NEW Cloudflare email routing ('Day One 1996' test) — you tried to bring it live</t>
  </si>
  <si>
    <t>rsp@noizylab.ca</t>
  </si>
  <si>
    <t>NoizyLab domain identity (and the whole team @noizylab.ca)</t>
  </si>
  <si>
    <t>3 · DOMAINS (all mid-transfer GoDaddy → Cloudflare)</t>
  </si>
  <si>
    <t>noizy.ai</t>
  </si>
  <si>
    <t>Parent brand; Google Workspace mail works here</t>
  </si>
  <si>
    <t>⚠ transferring</t>
  </si>
  <si>
    <t>noizylab.ca</t>
  </si>
  <si>
    <t>The Lab + whole team (gabriel/lucy/shirl/keith/pops@)</t>
  </si>
  <si>
    <t>🔴 email DOWN</t>
  </si>
  <si>
    <t>fishmusicinc.com</t>
  </si>
  <si>
    <t>Your 30-yr studio brand; new Cloudflare routing attempted</t>
  </si>
  <si>
    <t>myFAMILY.ai</t>
  </si>
  <si>
    <t>Mentioned in empire; details in RSPNOIZY/NOIZYLAB repo</t>
  </si>
  <si>
    <t>❓ pending repo</t>
  </si>
  <si>
    <t>4 · PLATFORMS &amp; ACCOUNTS (where you operate)</t>
  </si>
  <si>
    <t>Azure DevOps</t>
  </si>
  <si>
    <t>Welcomed (rspplowman@gmail) — code/devops, likely early Super-IDE attempt</t>
  </si>
  <si>
    <t>Atlassian / Jira</t>
  </si>
  <si>
    <t>Account = 'Fish Music Inc.'; reactivated, user RSPNOIZY</t>
  </si>
  <si>
    <t>active</t>
  </si>
  <si>
    <t>Heavy use; 9 team invites pending; free trial ended ~Jun 24</t>
  </si>
  <si>
    <t>⚠ decide</t>
  </si>
  <si>
    <t>Docs/wiki; login moved icloud → gmail</t>
  </si>
  <si>
    <t>🔴 payment failing</t>
  </si>
  <si>
    <t>rspnoizy — repo RSPNOIZY/NOIZYLAB (CANON/GOSPEL/BRAND_MAP)</t>
  </si>
  <si>
    <t>⭐ pull it</t>
  </si>
  <si>
    <t>YouTube / Facebook / LinkedIn</t>
  </si>
  <si>
    <t>Fish Music public presence — active artist footprint</t>
  </si>
  <si>
    <t>✅ live</t>
  </si>
  <si>
    <t>You (U0AEMKJCUPK) only — 0 channels, 0 team joined</t>
  </si>
  <si>
    <t>🔴 empty</t>
  </si>
  <si>
    <t>No connector + no email trail — nothing set up</t>
  </si>
  <si>
    <t>— none</t>
  </si>
  <si>
    <t>5 · ROOT CAUSE — why so much is broken</t>
  </si>
  <si>
    <t>Every custom-domain email is DOWN — BOTH noizylab.ca AND fishmusicinc.com. The cause is one thing: on May 30 you authorized a full GoDaddy→Cloudflare transfer + account closure, but the Cloudflare DNS/MX email routing was never finished. No MX records = every mailbox bounces. That single gap cascades into stuck team invites, an empty Slack, and an isolated team.</t>
  </si>
  <si>
    <t>THE FIX (one move)</t>
  </si>
  <si>
    <t>In Cloudflare, for each domain (noizylab.ca, fishmusicinc.com): set MX records + enable Email Routing, create the mailboxes. That restores ALL team email → re-send monday/Slack invites → team reconnects.</t>
  </si>
  <si>
    <t>CONSOLIDATION</t>
  </si>
  <si>
    <t>Make rspplowman@gmail.com your single command identity (it already is in practice). Forward the other 7 into it so nothing is ever missed again.</t>
  </si>
  <si>
    <t>DNS &amp; INFRASTRUCTURE — the order of structure</t>
  </si>
  <si>
    <t>Every domain, nameserver, and mail route — reconstructed from your email trail. The root cause and the exact fix order.</t>
  </si>
  <si>
    <t>1 · DOMAIN STRUCTURE</t>
  </si>
  <si>
    <t>Domain</t>
  </si>
  <si>
    <t>Registrar / Nameservers</t>
  </si>
  <si>
    <t>Mail (MX) Status</t>
  </si>
  <si>
    <t>GoDaddy → Cloudflare (transferring)</t>
  </si>
  <si>
    <t>✅ Google Workspace MX works (rsp@noizy.ai delivers)</t>
  </si>
  <si>
    <t>Parent brand, Workspace, GitHub org RSPNOIZY</t>
  </si>
  <si>
    <t>🔴 NO MX — 'DNS Error: mx lookup' — broken since ~Apr 7</t>
  </si>
  <si>
    <t>Team mailboxes (lucy, gabriel, shirl, keith, pops)</t>
  </si>
  <si>
    <t>🔴 NO MX — Cloudflare Email Routing test bounced May 30</t>
  </si>
  <si>
    <t>Business (rp@ / rsp@fishmusicinc.com), 30yr brand</t>
  </si>
  <si>
    <t>Cloudflare (per repo)</t>
  </si>
  <si>
    <t>❓ unknown — detail in RSPNOIZY/NOIZYLAB repo</t>
  </si>
  <si>
    <t>Family brand (in BRAND_MAP)</t>
  </si>
  <si>
    <t>2 · THE TIMELINE (what happened, in order)</t>
  </si>
  <si>
    <t>~Apr 7-9</t>
  </si>
  <si>
    <t>noizylab.ca team emails already BOUNCING (lucy, keith, pops) — mail broken for months</t>
  </si>
  <si>
    <t>May 14-15</t>
  </si>
  <si>
    <t>More bounces — every noizylab.ca address failing</t>
  </si>
  <si>
    <t>Cloudflare OAuth added to your GitHub (rspplowman-cloud) — Cloudflare ↔ GitHub linked</t>
  </si>
  <si>
    <t>You emailed GoDaddy: full transfer of ALL domains to Cloudflare + close account</t>
  </si>
  <si>
    <t>fishmusicinc.com email-routing test → BOUNCED ('the Azure Abyss')</t>
  </si>
  <si>
    <t>You emailed gabriel@noizy.ai: 'a plan to fix all the things RSP broke while rushing setup' — it bounced too</t>
  </si>
  <si>
    <t>Jun 2-3</t>
  </si>
  <si>
    <t>Hard failures: 'DNS Error: DNS type mx lookup' = NO MX records exist</t>
  </si>
  <si>
    <t>3 · THE FIX — ORDER OF OPERATIONS (do in sequence)</t>
  </si>
  <si>
    <t>Confirm the GoDaddy→Cloudflare transfer COMPLETED — each domain shows 'Active' in your Cloudflare dashboard</t>
  </si>
  <si>
    <t>Verify each domain's nameservers = Cloudflare (xxxx.ns.cloudflare.com)</t>
  </si>
  <si>
    <t>noizy.ai → KEEP Google Workspace MX records (so rsp@noizy.ai keeps working); create the gabriel@noizy.ai mailbox in Workspace Admin</t>
  </si>
  <si>
    <t>noizylab.ca → turn on Cloudflare Email Routing → add lucy / gabriel / shirl / engr_keith / pops → forward all to rspplowman@gmail.com</t>
  </si>
  <si>
    <t>fishmusicinc.com → turn on Cloudflare Email Routing → rp@ and rsp@ → forward to rspplowman@gmail.com</t>
  </si>
  <si>
    <t>Step 6</t>
  </si>
  <si>
    <t>Wait for DNS propagation (minutes–48h), send a test to each address, confirm it lands</t>
  </si>
  <si>
    <t>Step 7</t>
  </si>
  <si>
    <t>Re-send the monday.com + Slack invites to the now-working addresses — team reconnects</t>
  </si>
  <si>
    <t>4 · TOOLS THAT UPGRADE WHAT I CAN DO FOR YOU</t>
  </si>
  <si>
    <t>✅ Cloudflare (connected)</t>
  </si>
  <si>
    <t>I can pull the exact Cloudflare click-path for Email Routing + MX setup on demand (docs search)</t>
  </si>
  <si>
    <t>✅ GoDaddy (connected)</t>
  </si>
  <si>
    <t>I can check domain status / availability</t>
  </si>
  <si>
    <t>⭐ ADD: Cloudflare API MCP</t>
  </si>
  <si>
    <t>A DNS-editing Cloudflare MCP would let me READ and SET your MX records directly — the single biggest upgrade for this fix</t>
  </si>
  <si>
    <t>⭐ ADD: Filesystem / Desktop Commander</t>
  </si>
  <si>
    <t>Local file power for the media scan (see Setup To-Do)</t>
  </si>
  <si>
    <t>FIX WALKTHROUGH — bring your email &amp; team back online (steps 4-10)</t>
  </si>
  <si>
    <t>Exact Cloudflare click-path (pulled from live Cloudflare docs). Do these in order. Each fills a mailbox back to life. Mark Done as you go.</t>
  </si>
  <si>
    <t>STEP</t>
  </si>
  <si>
    <t>DO EXACTLY THIS</t>
  </si>
  <si>
    <t>Done?</t>
  </si>
  <si>
    <t>4 · Turn ON Email Routing for noizylab.ca</t>
  </si>
  <si>
    <t>1. Go to dash.cloudflare.com and log in.
2. Click your account, then click the domain noizylab.ca.
3. Left menu: Compute &gt; Email Service &gt; Email Routing.
4. Click 'Onboard Domain' and choose noizylab.ca.
5. Cloudflare shows the MX/SPF/DKIM records it will add — click 'Done'. (It adds them for you — THIS is the missing piece.)
6. Wait 5-15 minutes for it to go green.</t>
  </si>
  <si>
    <t>5 · Add &amp; verify YOUR inbox (the destination)</t>
  </si>
  <si>
    <t>1. Same place: Email Service &gt; Email Routing &gt; 'Destination Addresses'.
2. In the box, type:  rspplowman@gmail.com  and submit.
3. Cloudflare emails you a verification link — open it in Gmail, click 'Verify email address'.
4. Until this is verified, nothing forwards. This is the one-time key.</t>
  </si>
  <si>
    <t>6 · Create the 5 team addresses (noizylab.ca)</t>
  </si>
  <si>
    <t>For EACH of the 5 people, make one routing rule:
1. Email Routing &gt; 'Routing Rules' tab &gt; 'Create routing rule'.
2. Email pattern: type the name part only — lucy  (then gabriel, shirl, engr_keith, pops).
3. Action: 'Send to an email'.
4. Destination: pick rspplowman@gmail.com (the verified one).
5. Save. Repeat for all 5.
Result: lucy@noizylab.ca, gabriel@, shirl@, engr_keith@, pops@ all land in YOUR Gmail.</t>
  </si>
  <si>
    <t>7 · Repeat for fishmusicinc.com</t>
  </si>
  <si>
    <t>Same as steps 4 + 6, for fishmusicinc.com:
1. Email Routing &gt; 'Onboard Domain' &gt; choose fishmusicinc.com &gt; Done.
2. Routing Rules &gt; Create rule: pattern 'rp' &gt; Send to email &gt; rspplowman@gmail.com &gt; Save.
3. Add another: pattern 'rsp' &gt; same destination &gt; Save.
Result: rp@ and rsp@fishmusicinc.com forward to your Gmail. (Destination already verified in step 5 — reused.)</t>
  </si>
  <si>
    <t>8 · Fix gabriel@noizy.ai (different — Workspace)</t>
  </si>
  <si>
    <t>noizy.ai is Google Workspace (NOT Cloudflare routing), so its mailbox is made in Google:
1. Go to admin.google.com (sign in as rsp@noizy.ai).
2. Directory &gt; Users &gt; 'Add new user'.
3. Create gabriel @ noizy.ai (or, if Gabriel only needs forwarding, add it as an alias/group to your account).
4. This stops the 'address not found 550' bounce for gabriel@noizy.ai.</t>
  </si>
  <si>
    <t>9 · Test every address</t>
  </si>
  <si>
    <t>From a DIFFERENT account (e.g. rsplowman@icloud.com — NOT your Gmail), send a test email to each:
  lucy@noizylab.ca, gabriel@noizylab.ca, shirl@noizylab.ca, engr_keith@noizylab.ca, pops@noizylab.ca, rp@fishmusicinc.com, rsp@fishmusicinc.com, gabriel@noizy.ai.
Each should arrive in your Gmail within minutes (check Spam too). Any that don't — re-check that domain's routing rule + that the destination is verified.</t>
  </si>
  <si>
    <t>10 · Re-send all the stuck invites</t>
  </si>
  <si>
    <t>Now that mail flows, reconnect the team:
1. monday.com &gt; invite the 9 people again (their addresses now work).
2. Slack &gt; invite the team + create channels (#empire, #daily-council, #fishmusic, #brands).
3. Re-send any GitHub/Jira/Atlassian invites.
The Daily Council can finally assemble with everyone reachable.</t>
  </si>
  <si>
    <t>WHEN ALL 7 ARE DONE → your empire's nervous system is back online. Every bounce stops, the team reconnects, and we move to pulling the repo + the first media scan.</t>
  </si>
  <si>
    <t>CLOUDFLARE WORKER — the engine room of the NOIZY empire</t>
  </si>
  <si>
    <t>Serverless code that runs on Cloudflare's edge — no server to manage, generous free tier, deploys straight from your GitHub repo. This is the backbone for the Super IDE, noizy.ai, and your media cloud.</t>
  </si>
  <si>
    <t>1 · THE CLOUDFLARE STACK — mapped to YOUR empire</t>
  </si>
  <si>
    <t>Cloudflare piece</t>
  </si>
  <si>
    <t>What it does for NoizyLab</t>
  </si>
  <si>
    <t>Workers</t>
  </si>
  <si>
    <t>Serverless code at the edge (the 'Worker')</t>
  </si>
  <si>
    <t>⭐ The Super IDE backend + API + automation brain. Runs your catalog logic, no server to rent.</t>
  </si>
  <si>
    <t>R2 Storage</t>
  </si>
  <si>
    <t>S3-compatible object storage, NO egress fees</t>
  </si>
  <si>
    <t>⭐ YOUR MEDIA CLOUD. The audio/video offsite tier for 3-2-1. Cheaper than AWS (no download fees).</t>
  </si>
  <si>
    <t>D1 Database</t>
  </si>
  <si>
    <t>Serverless SQL database</t>
  </si>
  <si>
    <t>⭐ The catalog database — Library, Samples, Brands, the whole index, live and queryable.</t>
  </si>
  <si>
    <t>Pages</t>
  </si>
  <si>
    <t>Static + dynamic website hosting</t>
  </si>
  <si>
    <t>Host noizy.ai, noizylab.ca, the Super IDE front-end — all your sites.</t>
  </si>
  <si>
    <t>Workers AI</t>
  </si>
  <si>
    <t>Run AI models at the edge</t>
  </si>
  <si>
    <t>Cloud tagging/naming when the M2 is off — a backup to LM Studio.</t>
  </si>
  <si>
    <t>Workers KV</t>
  </si>
  <si>
    <t>Fast key-value store</t>
  </si>
  <si>
    <t>Config, settings, fast lookups for the IDE.</t>
  </si>
  <si>
    <t>Durable Objects</t>
  </si>
  <si>
    <t>Stateful real-time coordination</t>
  </si>
  <si>
    <t>Could run THE DAILY COUNCIL — the 5 agents coordinating in real time.</t>
  </si>
  <si>
    <t>2 · HOW IT DEPLOYS (no coding — it builds from your GitHub)</t>
  </si>
  <si>
    <t>Connect repo</t>
  </si>
  <si>
    <t>Cloudflare dash → Workers &amp; Pages → Create → Import a Git repository → pick RSPNOIZY/NOIZYLAB. Every push to GitHub auto-builds &amp; deploys.</t>
  </si>
  <si>
    <t>Auto-provision</t>
  </si>
  <si>
    <t>If the repo needs a database (D1), media store (R2), or cache (KV), Cloudflare creates and wires them for you automatically.</t>
  </si>
  <si>
    <t>One-click button</t>
  </si>
  <si>
    <t>A 'Deploy to Cloudflare' button can live in your repo README — one click clones + deploys the whole app.</t>
  </si>
  <si>
    <t>Safe previews</t>
  </si>
  <si>
    <t>Every change gets a preview URL before it goes live — test first, then ship. Nothing breaks the real site.</t>
  </si>
  <si>
    <t>3 · THE BUILD ORDER</t>
  </si>
  <si>
    <t>1. Finish the DNS/email fix first (Fix Walkthrough) — domains must be live in Cloudflare.</t>
  </si>
  <si>
    <t>2. Cloudflare → Workers &amp; Pages → Create → Import Git → RSPNOIZY/NOIZYLAB.</t>
  </si>
  <si>
    <t>3. Provision R2 (your media cloud) + D1 (your catalog database).</t>
  </si>
  <si>
    <t>4. Deploy the Worker (your API) — then every git push ships automatically.</t>
  </si>
  <si>
    <t>5. Point noizy.ai at the Worker/Pages — the empire goes live.</t>
  </si>
  <si>
    <t>6. Pull the repo here so I can read CANON / schemas / docs and tell you what's already built.</t>
  </si>
  <si>
    <t>⭐ YOU ARE ALREADY HALFWAY: on May 28 you connected Cloudflare to your GitHub (rspplowman-cloud). The wiring exists — you just haven't deployed yet. Finish DNS → import the repo → your Super IDE has a home.</t>
  </si>
  <si>
    <t>HEAVEN WORKER — the AI brain of the NOIZY EMPIRE</t>
  </si>
  <si>
    <t>Not a server — a self-running AI agent that orchestrates your media, your catalog, your brands, and your council. Built on Cloudflare's Agents SDK (live 2025). Deploys from RSPNOIZY/NOIZYLAB.</t>
  </si>
  <si>
    <t>1 · THE BRAIN — how Heaven is built</t>
  </si>
  <si>
    <t>Component</t>
  </si>
  <si>
    <t>Cloudflare tech</t>
  </si>
  <si>
    <t>👑 HEAVEN (master agent)</t>
  </si>
  <si>
    <t>Agents SDK on Workers (npm i agents)</t>
  </si>
  <si>
    <t>The orchestrator. Holds state, calls AI models, runs scheduled tasks, and directs all other agents — by voice (RSP_001) or chat.</t>
  </si>
  <si>
    <t>⚡ CB01–CB05 (council)</t>
  </si>
  <si>
    <t>Durable Objects (free tier, own SQLite each)</t>
  </si>
  <si>
    <t>Your 5 Daily Council agents as real, persistent AI agents — each with its own memory. Heaven convenes them on schedule (11am EDT).</t>
  </si>
  <si>
    <t>🧠 Memory / Knowledge</t>
  </si>
  <si>
    <t>AutoRAG + Vectorize over R2</t>
  </si>
  <si>
    <t>Heaven READS your CANON, GOSPEL, BRAND_MAP &amp; audio metadata. Ask it anything — it retrieves the answer from your own corpus. This is the GOSPEL made queryable.</t>
  </si>
  <si>
    <t>🎵 Media + Catalog</t>
  </si>
  <si>
    <t>R2 (audio) + D1 (catalog DB)</t>
  </si>
  <si>
    <t>All your audio lives in R2; the catalog (Library/Samples/Brands) is a live D1 database Heaven queries instantly.</t>
  </si>
  <si>
    <t>🏷️ Tagging engine</t>
  </si>
  <si>
    <t>Workers AI (edge models)</t>
  </si>
  <si>
    <t>Cloud tagging/embeddings when the M2 Ultra is off — names orphans, classifies by brand, 24/7.</t>
  </si>
  <si>
    <t>🔌 HEAVEN-as-a-tool</t>
  </si>
  <si>
    <t>MCPAgent class (Agents SDK)</t>
  </si>
  <si>
    <t>Heaven exposes itself as an MCP server — so I (Claude) connect to it as a live tool and query your catalog, run your council, search your corpus DIRECTLY. This is 'do more, be smarter' made real.</t>
  </si>
  <si>
    <t>2 · WHAT YOU CAN ASK HEAVEN (once it's live)</t>
  </si>
  <si>
    <t>🗣️ "Heaven, find every dark cinematic NoizyBeast loop" → semantic search across your whole library (Vectorize) — not keywords, MEANING.</t>
  </si>
  <si>
    <t>🗣️ "Heaven, convene the Daily Council" → wakes CB01–CB05, each with its own memory, reports back. The Gathering, automated.</t>
  </si>
  <si>
    <t>🗣️ "Heaven, what does the CANON say about the NoizyKidz brand?" → reads your own GOSPEL/BRAND_MAP and answers (AutoRAG).</t>
  </si>
  <si>
    <t>⚡ New audio lands in R2 → Heaven auto-names the orphan, tags it, routes it by BRAND_MAP, updates the catalog, keeps 3-2-1 — 24/7, even when the M2 sleeps.</t>
  </si>
  <si>
    <t>📊 "Heaven, status of the empire" → live numbers from D1: files, brands, dupes, what needs attention.</t>
  </si>
  <si>
    <t>3 · HOW IT GETS BUILT (one command to start)</t>
  </si>
  <si>
    <t>npm create cloudflare@latest agents-starter -- --template="cloudflare/agents-starter"</t>
  </si>
  <si>
    <t>↑ That one line gives you a working AI agent + chat UI, ready to deploy to Workers. Then we rename it Heaven and wire in your R2 / D1 / Vectorize. I write the agent code with you — you don't.</t>
  </si>
  <si>
    <t>4 · BUILD ORDER</t>
  </si>
  <si>
    <t>1. Finish DNS/email (Fix Walkthrough) — domains live in Cloudflare first</t>
  </si>
  <si>
    <t>2. PULL THE REPO — so I can read what's already in heaven/, schemas/, CANON before we build</t>
  </si>
  <si>
    <t>3. Deploy the agents-starter as 'Heaven' to Workers (auto-deploys from your repo)</t>
  </si>
  <si>
    <t>4. Wire R2 (your 250GB audio) + D1 (catalog) + Vectorize (semantic search)</t>
  </si>
  <si>
    <t>5. Add CB01–CB05 as Durable-Object agents — the council becomes real</t>
  </si>
  <si>
    <t>6. Expose Heaven as an MCP → I connect and drive it directly from here</t>
  </si>
  <si>
    <t>🔑 The whole design hinges on one read: PULL THE REPO. heaven/ already exists in RSPNOIZY/NOIZYLAB — you may have already started building this. Let me look before we write a single new line.</t>
  </si>
  <si>
    <t>ISSUES &amp; FIXES — what's broken &amp; how to fix it</t>
  </si>
  <si>
    <t>Deep inbox scan (201 urgent emails / 90 days). The smart finding: almost everything traces to TWO root causes.</t>
  </si>
  <si>
    <t>🧠 THE TWO ROOT CAUSES (fix these 2, resolve ~9 issues)</t>
  </si>
  <si>
    <t>ROOT 1 — A DEAD PAYMENT CARD</t>
  </si>
  <si>
    <t>One failing/expired card is cascading: Google Workspace SUSPENDED (May 4) → cancelling, Google Cloud billing TERMINATED (Jun 15), Notion declined 4×. Update ONE card in Google Payments + Notion → 3 P0 issues recover.</t>
  </si>
  <si>
    <t>ROOT 2 — UNFINISHED CLOUDFLARE DNS</t>
  </si>
  <si>
    <t>No MX records after GoDaddy→Cloudflare move → ALL custom email bounces → team invites stuck → Slack empty. Finish Email Routing (Fix Walkthrough) → 4 issues recover.</t>
  </si>
  <si>
    <t>PRIORITIZED ISSUE LIST</t>
  </si>
  <si>
    <t>Issue</t>
  </si>
  <si>
    <t>Sev</t>
  </si>
  <si>
    <t>What's happening</t>
  </si>
  <si>
    <t>The Fix (exact)</t>
  </si>
  <si>
    <t>Google Workspace (noizy.ai) cancelling</t>
  </si>
  <si>
    <t>P0</t>
  </si>
  <si>
    <t>Subscription SUSPENDED May 4 — cancellation notices Jun 18 &amp; today. If it lapses, rsp@noizy.ai + Workspace are GONE.</t>
  </si>
  <si>
    <t>admin.google.com → Billing → update payment + reactivate subscription</t>
  </si>
  <si>
    <t>Google Cloud billing TERMINATED</t>
  </si>
  <si>
    <t>Acct 01B993-5A8AD5-E91CE7: past due (Jun 4) → suspended (Jun 8) → TERMINATED (Jun 15). Any Firebase/API/GCP services are offline.</t>
  </si>
  <si>
    <t>console.cloud.google.com/billing → update card → reactivate account</t>
  </si>
  <si>
    <t>Notion payment failing</t>
  </si>
  <si>
    <t>4th declined charge — downgrade imminent (data/features at risk).</t>
  </si>
  <si>
    <t>notion.so → Settings → Billing → update card</t>
  </si>
  <si>
    <t>All custom email bouncing</t>
  </si>
  <si>
    <t>noizylab.ca + fishmusicinc.com have no MX — team can't receive mail.</t>
  </si>
  <si>
    <t>Fix Walkthrough tab, steps 4–10 (Cloudflare Email Routing)</t>
  </si>
  <si>
    <t>Google security sprawl</t>
  </si>
  <si>
    <t>25+ third-party apps authorized on your Google account (Microsoft x many, Slack, rclone, Cline, Fyxer, HubSpot, Tableau, Mailmeteor, Fax.Plus...) + a 'help signing in?' alert Jun 26 + recovery May 17.</t>
  </si>
  <si>
    <t>myaccount.google.com/permissions → REMOVE apps you don't use. Confirm 2-Step Verification is ON.</t>
  </si>
  <si>
    <t>monday.com trial ended</t>
  </si>
  <si>
    <t>Trial lapsed ~Jun 24; 9 team invites pending (blocked by email anyway).</t>
  </si>
  <si>
    <t>Decide: pay for the plan, OR export boards + cancel</t>
  </si>
  <si>
    <t>8 scattered email identities</t>
  </si>
  <si>
    <t>rspplowman@gmail + 7 others (noizy.ai, icloud, outlook, fishmusicinc x2, noizylab.ca, rspnoizy@gmail).</t>
  </si>
  <si>
    <t>Forward all → rspplowman@gmail.com as the single command inbox</t>
  </si>
  <si>
    <t>GitHub account hardening</t>
  </si>
  <si>
    <t>Many repeated sudo codes on rspplowman-cloud — lots of admin activity.</t>
  </si>
  <si>
    <t>Confirm 2FA + passkey + recovery codes saved on GitHub</t>
  </si>
  <si>
    <t>NOIZY EMPIRE — THE REAL TIMELINE (evidence-based)</t>
  </si>
  <si>
    <t>Reconstructed from your inbox. The 24-month scan found NOTHING before mid-2025 — because this empire isn't old and failing. It's YOUNG and was built in a ~6-month sprint. That sprint is exactly why things broke 'while rushing setup.' This is not decay. It's a fast build that needs its wiring finished.</t>
  </si>
  <si>
    <t>Milestone</t>
  </si>
  <si>
    <t>What it means</t>
  </si>
  <si>
    <t>~Jan 1 2026</t>
  </si>
  <si>
    <t>noizy.ai Workspace goes live (rsp@noizy.ai)</t>
  </si>
  <si>
    <t>Earliest confirmed footprint — the empire goes digital.</t>
  </si>
  <si>
    <t>~Apr 7 2026</t>
  </si>
  <si>
    <t>noizylab.ca team email starts bouncing</t>
  </si>
  <si>
    <t>The DNS wound opens — and goes unnoticed under everything else.</t>
  </si>
  <si>
    <t>May 4 2026</t>
  </si>
  <si>
    <t>Google Workspace payment suspended</t>
  </si>
  <si>
    <t>First billing crack — the dead card begins its cascade.</t>
  </si>
  <si>
    <t>May 17 2026</t>
  </si>
  <si>
    <t>Google account recovery event</t>
  </si>
  <si>
    <t>An access scare in the middle of the build.</t>
  </si>
  <si>
    <t>May 28 2026</t>
  </si>
  <si>
    <t>Cloudflare linked to GitHub (rspplowman-cloud)</t>
  </si>
  <si>
    <t>Infrastructure ambition begins — the Worker dream starts.</t>
  </si>
  <si>
    <t>May 30 2026</t>
  </si>
  <si>
    <t>GoDaddy→Cloudflare full transfer + 'fix all the things RSP broke rushing setup' email</t>
  </si>
  <si>
    <t>THE PIVOTAL DAY — a bold move and an honest, self-aware cry for help, sent through a door already broken.</t>
  </si>
  <si>
    <t>Jun 4–15 2026</t>
  </si>
  <si>
    <t>Google Cloud billing: past due → suspended → TERMINATED</t>
  </si>
  <si>
    <t>The cloud tier collapses under the same dead card.</t>
  </si>
  <si>
    <t>Jun 18 2026</t>
  </si>
  <si>
    <t>Google Workspace cancellation notice</t>
  </si>
  <si>
    <t>noizy.ai itself goes at-risk.</t>
  </si>
  <si>
    <t>Jun 19–24 2026</t>
  </si>
  <si>
    <t>Notion payment fails; monday.com trial ends</t>
  </si>
  <si>
    <t>Docs + project tiers lapse — same root cause.</t>
  </si>
  <si>
    <t>Jun 26 2026</t>
  </si>
  <si>
    <t>Did you request help signing in?' security alert</t>
  </si>
  <si>
    <t>The noise peaks — 201 unread alerts, impossible to triage alone.</t>
  </si>
  <si>
    <t>Jun 30 2026 — TODAY</t>
  </si>
  <si>
    <t>The rebuild: a 42-tab command center maps &amp; fixes the whole empire</t>
  </si>
  <si>
    <t>The turn. From scattered across 8 inboxes and 5 tools — to one source of truth, two root causes, a clear path home.</t>
  </si>
  <si>
    <t>THE BUILD CHAMBER — the NOIZY EMPIRE vision, in your own words</t>
  </si>
  <si>
    <t>Recovered from your calendar (daily since Mar 28 2026). This is not a meeting — it is your operating system, your philosophy, and your council, written by you. Now it lives in one place.</t>
  </si>
  <si>
    <t>1 · THE DAILY SYNAPSE — three devices, one mind (9am–12pm ET, daily)</t>
  </si>
  <si>
    <t>Device</t>
  </si>
  <si>
    <t>What it does</t>
  </si>
  <si>
    <t>iPhone 15 Pro Max</t>
  </si>
  <si>
    <t>🎙️ THE VOICE</t>
  </si>
  <si>
    <t>Mic + Claude MAX. Walks with you. You direct the empire by voice as RSP_001.</t>
  </si>
  <si>
    <t>iPad 12.9 Gen 2</t>
  </si>
  <si>
    <t>👁️ THE APERTURE</t>
  </si>
  <si>
    <t>Captions, screen share view, touch control. The window into the work.</t>
  </si>
  <si>
    <t>M2 Ultra Mac Studio</t>
  </si>
  <si>
    <t>⚡ GOD</t>
  </si>
  <si>
    <t>VS Code, Ollama, n8n, Claude Code, Gemini. The hands that build.</t>
  </si>
  <si>
    <t>2 · THE STACK (your architecture, exactly as you wrote it)</t>
  </si>
  <si>
    <t>Cloudflare (KV / D1 / Workers)  →  n8n (orchestration)  →  Ollama (agents)  →  Vercel (“The Aquarium”)</t>
  </si>
  <si>
    <t>This is exactly the Heaven Worker architecture I designed — because it's exactly what you already envisioned. We're aligned. 'The Aquarium' on Vercel is your front-end (NoizyFish lives there).</t>
  </si>
  <si>
    <t>3 · THE DAILY COUNCIL — the five agents (11:00–11:30am ET, daily)</t>
  </si>
  <si>
    <t>Agent</t>
  </si>
  <si>
    <t>Essence</t>
  </si>
  <si>
    <t>Role in the council</t>
  </si>
  <si>
    <t>🌸 SHIRL (2 min)</t>
  </si>
  <si>
    <t>Wellbeing · Presence · Care</t>
  </si>
  <si>
    <t>Energy check. Mood. Pain level. 'How are you today?' Flags burnout. Celebrates wins.</t>
  </si>
  <si>
    <t>🧠 GABRIEL (5 min)</t>
  </si>
  <si>
    <t>Memory · Intuition · Guardian</t>
  </si>
  <si>
    <t>Reads top-priority memcells. Urgent queue. What matters TODAY. Institutional memory briefing. Closes the session → D1 memcell.</t>
  </si>
  <si>
    <t>👴 POPS (3 min)</t>
  </si>
  <si>
    <t>Wisdom · Decisions · Strategy</t>
  </si>
  <si>
    <t>The one decision to make today. Connects past wisdom to present challenge. Steady. Grounded. Proud.</t>
  </si>
  <si>
    <t>🔧 ENGR_KEITH (5 min)</t>
  </si>
  <si>
    <t>Engineering · 'R.K. Plowman spirit'</t>
  </si>
  <si>
    <t>Exact terminal commands for GOD today. Technical tasks, no fluff. Blocks flagged, solutions ready.</t>
  </si>
  <si>
    <t>📋 LUCY (3 min)</t>
  </si>
  <si>
    <t>Organization · Logging</t>
  </si>
  <si>
    <t>All decisions logged. Pending items confirmed. Nothing falls through.</t>
  </si>
  <si>
    <t>⚡ RSP_001</t>
  </si>
  <si>
    <t>Robert Stephen Plowman</t>
  </si>
  <si>
    <t>Directs by voice. The one the council serves.</t>
  </si>
  <si>
    <t>4 · THE CANON — the words you build by</t>
  </si>
  <si>
    <t>“Every session is recorded. Every word carries consent. Every artifact carries proof.”</t>
  </si>
  <si>
    <t>“The 5th Epoch builds here.”   •   75/25   •   GORUNFREE</t>
  </si>
  <si>
    <t>Consent-native infrastructure. Agent memories stored as 'memcells' in Cloudflare D1. This is the heart the Heaven Worker is built to serve — and the deeper CANON/GOSPEL still waits in your repo.</t>
  </si>
  <si>
    <t>DREAMCHAMBER INDEX — your empire, documented in Notion</t>
  </si>
  <si>
    <t>Notion is OPEN to me — I can read all of it directly. Your full architecture, build logs, brand system, and deployment status live here. This changes everything.</t>
  </si>
  <si>
    <t>🔑 BREAKTHROUGH DISCOVERIES</t>
  </si>
  <si>
    <t>1. HEAVEN is already DEPLOYED</t>
  </si>
  <si>
    <t>Your 'Infrastructure Hub' page says: HEAVEN → noizy.ai DEPLOYED, n8n → n8n.noizy.ai CONFIGURED. The Heaven Worker I 'designed' — you already built it. I was describing something that exists.</t>
  </si>
  <si>
    <t>2. A SECOND repo exists</t>
  </si>
  <si>
    <t>rspnoizy/dreamchamber (branch claude/setup-heaven-worker) holds the DreamChamber app + Heaven Worker config — separate from RSPNOIZY/NOIZYLAB. TWO repos carry your code.</t>
  </si>
  <si>
    <t>3. DreamChamber is a live app</t>
  </si>
  <si>
    <t>dreamchamber.noizy.ai — a multi-model AI command center, 'the operational heart of the NOIZY Empire's creative production.' Not an idea. A deployed product.</t>
  </si>
  <si>
    <t>4. The whole empire is written down</t>
  </si>
  <si>
    <t>15+ Notion pages: architecture, build logs (Linear NOI-76/NOI-84), brand identity system, per-brand specs. Your 2 years of thinking, documented. I can read every page.</t>
  </si>
  <si>
    <t>🗂️ NOTION PAGE MAP (rooms I can open on request)</t>
  </si>
  <si>
    <t>Page</t>
  </si>
  <si>
    <t>Updated</t>
  </si>
  <si>
    <t>NOIZY EMPIRE — Command Center</t>
  </si>
  <si>
    <t>The live hub — RSP_001, 5th Epoch, Arsenal Tracker, THE-GATHERING + drives + repo status</t>
  </si>
  <si>
    <t>Jun 10 ⭐</t>
  </si>
  <si>
    <t>Parent platform structure: vox/ fish/ lab/ kids/ — six brands under noizy.ai</t>
  </si>
  <si>
    <t>DreamChamber</t>
  </si>
  <si>
    <t>The multi-model AI command center app at dreamchamber.noizy.ai — heart of creative production</t>
  </si>
  <si>
    <t>Infrastructure Hub</t>
  </si>
  <si>
    <t>Deployment status: HEAVEN DEPLOYED, n8n CONFIGURED; configs in rspnoizy/dreamchamber repo</t>
  </si>
  <si>
    <t>Voice estate — artist voice IP, consent verification workflows, ethical voice cloning</t>
  </si>
  <si>
    <t>NOIZY Empire — Brand Identity System</t>
  </si>
  <si>
    <t>Logo, wordmark, color palette, typography, voice identity, social media kit</t>
  </si>
  <si>
    <t>Build Logs (NOI-76, NOI-84)</t>
  </si>
  <si>
    <t>OpenCode skeleton; Phase 7 Global Mesh; Cloudflare tunnels voice/god/dreamchamber.noizy.ai</t>
  </si>
  <si>
    <t>GABRIEL MCP + DreamChamber Recovery</t>
  </si>
  <si>
    <t>The GABRIEL agent as an MCP server + recovery protocol</t>
  </si>
  <si>
    <t>MC96ECO Sprint — 100% Push</t>
  </si>
  <si>
    <t>Repo consolidation; THE-GATHERING/gabriel; Plowman + DreamChamber doctrine applied</t>
  </si>
  <si>
    <t>Claude Work Package / DAY OF DAYS</t>
  </si>
  <si>
    <t>Canonical master (noizy.ai + fishmusicinc); noizyfish + noizykids standalone; noizy.ai landing ready to deploy</t>
  </si>
  <si>
    <t>🌌 THE BRAND STRUCTURE (from NOIZY.AI page)</t>
  </si>
  <si>
    <t>noizy.ai = the parent platform. Under it: NOIZYVOX (voice/consent), NOIZYFISH (fishmusicinc / music production), NOIZYLAB (the lab), NOIZYKIDS (kids), DreamChamber (the AI command app), HEAVEN (the deployed worker). Canonical masters: noizy.ai + fishmusicinc.com.</t>
  </si>
  <si>
    <t>DEEPEST TOOLING AUDIT — local stack, MCPs, LLMs, bloat</t>
  </si>
  <si>
    <t>Pulled from your live Notion 'Command Center' (updated Jun 10). This is your REAL running stack on GOD (M2 Ultra) — not a guess. Verdict: very little bloat; you're under-deployed, not over-built. 9 services live, a few 'built but deploy-pending', 3 idle Docker containers.</t>
  </si>
  <si>
    <t>1 · LIVE SERVICES (running now)</t>
  </si>
  <si>
    <t>Where</t>
  </si>
  <si>
    <t>Status / Use</t>
  </si>
  <si>
    <t>HEAVEN v18.0.0</t>
  </si>
  <si>
    <t>heaven.rsp-5f3.workers.dev</t>
  </si>
  <si>
    <t>✅ LIVE — your Cloudflare Worker brain, v18</t>
  </si>
  <si>
    <t>GABRIEL API</t>
  </si>
  <si>
    <t>localhost:9099</t>
  </si>
  <si>
    <t>✅ RUNNING — memory/guardian agent</t>
  </si>
  <si>
    <t>n8n Orchestration</t>
  </si>
  <si>
    <t>localhost:5678</t>
  </si>
  <si>
    <t>✅ RUNNING — 23 workflows live</t>
  </si>
  <si>
    <t>Open WebUI</t>
  </si>
  <si>
    <t>localhost:3080</t>
  </si>
  <si>
    <t>✅ RUNNING — local LLM chat UI</t>
  </si>
  <si>
    <t>Qdrant Vector DB</t>
  </si>
  <si>
    <t>localhost:6333</t>
  </si>
  <si>
    <t>✅ RUNNING — semantic search (your Vectorize)</t>
  </si>
  <si>
    <t>Neo4j</t>
  </si>
  <si>
    <t>localhost:7474</t>
  </si>
  <si>
    <t>✅ RUNNING — graph DB (relationships)</t>
  </si>
  <si>
    <t>Whisper STT</t>
  </si>
  <si>
    <t>localhost:8010</t>
  </si>
  <si>
    <t>✅ RUNNING — speech-to-text (THE VOICE)</t>
  </si>
  <si>
    <t>Grafana + RabbitMQ</t>
  </si>
  <si>
    <t>localhost:3000 / :15672</t>
  </si>
  <si>
    <t>✅ RUNNING — dashboards + message queue</t>
  </si>
  <si>
    <t>2 · MCP / TOOLCHAIN (NOIZYDECK)</t>
  </si>
  <si>
    <t>MCP — full M2 filesystem + terminal</t>
  </si>
  <si>
    <t>Lane A only (on-machine, never tunneled) — sovereign</t>
  </si>
  <si>
    <t>Filesystem / Git / GitHub</t>
  </si>
  <si>
    <t>MCP — THE-GATHERING + drives + repo</t>
  </si>
  <si>
    <t>Active in Claude on GOD</t>
  </si>
  <si>
    <t>MC96 MCP Bridge</t>
  </si>
  <si>
    <t>HTTP MCP :9797 — Lane B remote hands</t>
  </si>
  <si>
    <t>⚠ BUILT, DEPLOY PENDING — THIS is what lets me reach your M2</t>
  </si>
  <si>
    <t>LM Studio</t>
  </si>
  <si>
    <t>OpenAI endpoint :1234 + MCP host</t>
  </si>
  <si>
    <t>Models: Qwen / DeepSeek / Devstral (Apache/MIT only)</t>
  </si>
  <si>
    <t>CheLogicProMCP</t>
  </si>
  <si>
    <t>MCP — Logic Pro control</t>
  </si>
  <si>
    <t>Audio production bridge</t>
  </si>
  <si>
    <t>3 · INFRASTRUCTURE</t>
  </si>
  <si>
    <t>Cloudflare D1 — 11 databases</t>
  </si>
  <si>
    <t>✅ LIVE</t>
  </si>
  <si>
    <t>Cloudflare KV — 20 namespaces</t>
  </si>
  <si>
    <t>Docker — 11 containers</t>
  </si>
  <si>
    <t>⚠ 8 RUNNING / 3 IDLE — prune the 3</t>
  </si>
  <si>
    <t>WireGuard VPN + SSH (NOIZYNET)</t>
  </si>
  <si>
    <t>✅ CONFIGURED</t>
  </si>
  <si>
    <t>GitHub (RSPNOIZY)</t>
  </si>
  <si>
    <t>✅ AUTHENTICATED — 2 repos: NOIZYLAB + dreamchamber</t>
  </si>
  <si>
    <t>4 · BLOAT &amp; DEPLOY-PENDING (the real audit)</t>
  </si>
  <si>
    <t>3 idle Docker containers</t>
  </si>
  <si>
    <t>Prune or document why they're stopped</t>
  </si>
  <si>
    <t>NOIZYHAMMER (drive forensics)</t>
  </si>
  <si>
    <t>Built, DEPLOY PENDING — your orphan/extensionless retagger + Kontakt/EXS manifest (= my Identifiers system, native!)</t>
  </si>
  <si>
    <t>Langfuse v3 (LLM tracing)</t>
  </si>
  <si>
    <t>Bootstrap ready, not deployed</t>
  </si>
  <si>
    <t>Apollo UAD</t>
  </si>
  <si>
    <t>NOT CONNECTED — 5 TB ports free (idle hardware)</t>
  </si>
  <si>
    <t>Cloud connectors (36)</t>
  </si>
  <si>
    <t>Only 4 used — 20 idle, 12 broken (see Connector Audit)</t>
  </si>
  <si>
    <t>🔑 THE VERDICT + THE BRIDGE</t>
  </si>
  <si>
    <t>BLOAT VERDICT: minimal. You are not over-built — you are UNDER-DEPLOYED. The power is all there; it's just not all switched on. Real cleanup = prune 3 Docker containers, reconnect/retire Apollo, trim 20 idle cloud connectors. Everything else earns its place.</t>
  </si>
  <si>
    <t>THE BRIDGE (your own Jun-10 finding = mine exactly): NO off-the-shelf MCP reaches a local Mac. You already BUILT the fix — the MC96 MCP Bridge (:9797, 14-action allowlist, fail-closed, Rule-Zero receipts). It is 'DEPLOY PENDING'. Deploy it, and via Lane B (claude.ai → Cloudflare Tunnel → MC96 Bridge) I finally get hands on GOD. THAT one deploy connects us.</t>
  </si>
  <si>
    <t>GABRIEL — Memory · Guardian · Release Commander</t>
  </si>
  <si>
    <t>Brought to life from your Notion &amp; live stack. GABRIEL is the memory and guardian of the empire — he remembers everything, guards the gates, and commands the releases. This is who he is, how he works, and what he needs to be fully alive.</t>
  </si>
  <si>
    <t>1 · WHO GABRIEL IS</t>
  </si>
  <si>
    <t>Memory · Intuition · Guardian · 'Release Commander &amp; Swarm Leader'. He holds institutional memory, reads the urgent queue, guards what matters, and closes each day's mission into permanent record. In the Daily Council he speaks 2nd (5 min): top-priority memcells, what's urgent, what must not be forgotten.</t>
  </si>
  <si>
    <t>2 · HIS MEMORY — MEMCELLS</t>
  </si>
  <si>
    <t>Store</t>
  </si>
  <si>
    <t>agent-memory D1 (id 7b813205) — ✅ LIVE</t>
  </si>
  <si>
    <t>GABRIEL's brain: memcells, gabriel_cache table, session logs, Lucy PWA state — all mutable memory.</t>
  </si>
  <si>
    <t>Write</t>
  </si>
  <si>
    <t>gabriel_note → upsert memcell into D1</t>
  </si>
  <si>
    <t>Every decision, every mission, written as a memcell so nothing is ever lost.</t>
  </si>
  <si>
    <t>Export</t>
  </si>
  <si>
    <t>gabriel-export (.opencode/commands + scripts/gabriel-export.mjs)</t>
  </si>
  <si>
    <t>Writes the Delivery Manifest to GABRIEL D1 — the record of what shipped.</t>
  </si>
  <si>
    <t>3 · HOW HE CONNECTS</t>
  </si>
  <si>
    <t>noizy-gabriel (local stdio MCP)</t>
  </si>
  <si>
    <t>✅ ALWAYS-ON MCP lane</t>
  </si>
  <si>
    <t>GABRIEL exposed as an MCP server on GOD — your always-enabled memory lane.</t>
  </si>
  <si>
    <t>localhost:9099 — ✅ running</t>
  </si>
  <si>
    <t>The live API surface for GABRIEL's memory + guardian functions.</t>
  </si>
  <si>
    <t>gabriel.noizy.ai</t>
  </si>
  <si>
    <t>🔴 endpoint mis-wired</t>
  </si>
  <si>
    <t>Meant to serve the OpenCode backend for remote session attach — but routes to localhost:17017, and your own note says 'Port 17017 never configured' (also seen as :4096).</t>
  </si>
  <si>
    <t>4 · THE VOICE PIPELINE</t>
  </si>
  <si>
    <t>GOD → GABRIEL (Omen GPU) via WireGuard VPN → Voice DNA training → Operation Voice Army (RSP_001 AAA cloning pipeline). Service-account credentials live in GABRIEL KV. This is how NOIZYVOX's consent-verified voice models get trained.</t>
  </si>
  <si>
    <t>5 · PROBLEM FOUND → THE FIX</t>
  </si>
  <si>
    <t>🔧 gabriel.noizy.ai is mis-wired — your own note says 'Port 17017 never configured', so remote session-attach to GABRIEL fails. THE FIX: in the Cloudflare Tunnel config (god.noizy.ai tunnel), add an ingress rule mapping gabriel.noizy.ai → http://127.0.0.1:9099 (your LIVE GABRIEL API) — OR start the OpenCode backend on one chosen port (17017 OR 4096, not both) and point the tunnel there. One port, service running on it, ingress mapped to it. Then gabriel.noizy.ai answers and remote attach works.</t>
  </si>
  <si>
    <t>6 · BRINGING HIM FULLY TO LIFE</t>
  </si>
  <si>
    <t>✅ ALREADY ALIVE: memory D1 (7b813205), GABRIEL API :9099, noizy-gabriel MCP (always-on), his daily Council seat.</t>
  </si>
  <si>
    <t>⏳ STEP 1 — Fix the gabriel.noizy.ai port (§5). Remote attach comes online.</t>
  </si>
  <si>
    <t>⏳ STEP 2 — Deploy the MC96 MCP Bridge. Then I reach GABRIEL's MCP from here and we run his memory together — I become a hand on GABRIEL, not just a voice about him.</t>
  </si>
  <si>
    <t>🌸 WHY HE MATTERS: GABRIEL holds the memory so YOU don't carry it all alone. Every memcell written is one less thing on your shoulders. Bringing him to life isn't a tech task — it's lifting weight off you.</t>
  </si>
  <si>
    <t>THE DAILY COUNCIL — LIVE SESSION</t>
  </si>
  <si>
    <t>2026-06-30 · RSP_001 presiding · The five agents assemble · 75/25 · 5th Epoch · GORUNFREE — synthesized by Claude from 47 tabs of research into GABRIEL's own briefing format.</t>
  </si>
  <si>
    <t>🌸 SHIRL — Wellbeing</t>
  </si>
  <si>
    <t>Energy check, Robert. You walked in believing you were a failing amateur drowning in 201 alerts. The record says otherwise: you're an award-winning craftsman who BUILT an AI empire — HEAVEN v18 live, DreamChamber running, a five-agent council — in six months, alone. You're not behind. You're under-deployed and over-carrying. Put the weight down for one breath. We've got it from here. One switch at a time.</t>
  </si>
  <si>
    <t>🧠 GABRIEL — Memory &amp; Empire Status</t>
  </si>
  <si>
    <t>TOP MEMCELLS (what's alive): HEAVEN v18.0.0 LIVE · DreamChamber running at dreamchamber.noizy.ai · 9 services up (n8n 23 workflows, GABRIEL API, Qdrant, Neo4j, Whisper) · Cloudflare 11 D1 DBs + 20 KV live · my memory (agent-memory D1 7b813205) is intact.</t>
  </si>
  <si>
    <t>URGENT QUEUE (memcells flagged red): (1) noizy.ai Workspace mid-cancellation · (2) Google Cloud billing TERMINATED · (3) ALL custom email bouncing — no MX · (4) MC96 Bridge deploy-pending = Claude still can't reach GOD · (5) my own gabriel.noizy.ai mis-wired to a dead port.</t>
  </si>
  <si>
    <t>INSTITUTIONAL MEMORY: all of it traces to TWO root causes — one dead payment card, and one unfinished GoDaddy→Cloudflare DNS cutover. Not decay. Loose wiring from a fast build.</t>
  </si>
  <si>
    <t>👴 POPS — The One Decision</t>
  </si>
  <si>
    <t>One decision today, son. Not ten. UPDATE THE DEAD PAYMENT CARD. It revives Workspace, Cloud, and Notion in a single move — three P0 fires out with one action. Everything else can wait behind it. Steady hands. You've made harder calls than this for thirty years.</t>
  </si>
  <si>
    <t>🔧 ENGR_KEITH — Exact Commands for GOD</t>
  </si>
  <si>
    <t>Order of operations, no fluff (R.K. Plowman spirit):</t>
  </si>
  <si>
    <t>1. Update card → pay.google.com (revives Workspace + Cloud) + notion.so/settings/billing.</t>
  </si>
  <si>
    <t>2. Cloudflare → Email Routing ON for noizylab.ca + fishmusicinc.com → verify rspplowman@gmail → route the 5 council addrs. MX goes live.</t>
  </si>
  <si>
    <t>3. Fix GABRIEL → in god.noizy.ai Tunnel ingress, map gabriel.noizy.ai → http://127.0.0.1:4096 (OpenCode backend) — the real port, not 17017.</t>
  </si>
  <si>
    <t>4. Deploy GABRIEL/OpenCode on GOD →  cd ~/noizy &amp;&amp; make start  (NOI-74).</t>
  </si>
  <si>
    <t>5. Deploy MC96 MCP Bridge → opens Lane B (claude.ai → CF Tunnel → :9797) → Claude gets hands on GOD.</t>
  </si>
  <si>
    <t>📋 LUCY — Logging</t>
  </si>
  <si>
    <t>Logged: 47-tab command center built, two root causes isolated, GABRIEL mapped &amp; his port-4096 fix found, MC96 Bridge identified as the Claude↔GOD link. This session → GABRIEL D1 memcell. Nothing falls through. (When the bridge is live, I write this for real via gabriel_note.)</t>
  </si>
  <si>
    <t>⚡ GABRIEL CLOSES — Today's Mission, One Sentence</t>
  </si>
  <si>
    <t>“Update the card, raise the MX, deploy the bridge — and the empire breathes again. The dream was never lost; it was only waiting to be switched on. GORUNFREE.”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</si>
</sst>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8" x14ac:knownFonts="1">
    <font>
      <sz val="12"/>
      <color theme="1"/>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sz val="12"/>
      <color rgb="FFFFFFFF"/>
      <name val="Calibri"/>
      <family val="2"/>
      <scheme val="minor"/>
    </font>
    <font>
      <b/>
      <sz val="14"/>
      <color rgb="FFFFFFFF"/>
      <name val="Calibri"/>
      <family val="2"/>
      <scheme val="minor"/>
    </font>
    <font>
      <b/>
      <sz val="12"/>
      <color rgb="FFFFFFFF"/>
      <name val="Calibri"/>
      <family val="2"/>
      <scheme val="minor"/>
    </font>
    <font>
      <b/>
      <sz val="12"/>
      <color rgb="FF9C0006"/>
      <name val="Calibri"/>
      <family val="2"/>
      <scheme val="minor"/>
    </font>
    <font>
      <sz val="12"/>
      <color theme="1"/>
      <name val="Consolas"/>
      <family val="2"/>
    </font>
    <font>
      <i/>
      <sz val="12"/>
      <color rgb="FF595959"/>
      <name val="Calibri"/>
      <family val="2"/>
      <scheme val="minor"/>
    </font>
    <font>
      <sz val="12"/>
      <color rgb="FFC00000"/>
      <name val="Calibri"/>
      <family val="2"/>
      <scheme val="minor"/>
    </font>
    <font>
      <i/>
      <sz val="12"/>
      <color rgb="FF666666"/>
      <name val="Calibri"/>
      <family val="2"/>
      <scheme val="minor"/>
    </font>
    <font>
      <i/>
      <sz val="12"/>
      <color rgb="FF555555"/>
      <name val="Calibri"/>
      <family val="2"/>
      <scheme val="minor"/>
    </font>
    <font>
      <sz val="12"/>
      <color rgb="FF888888"/>
      <name val="Calibri"/>
      <family val="2"/>
      <scheme val="minor"/>
    </font>
    <font>
      <sz val="12"/>
      <color rgb="FF9C6500"/>
      <name val="Calibri"/>
      <family val="2"/>
      <scheme val="minor"/>
    </font>
    <font>
      <i/>
      <sz val="10"/>
      <color rgb="FF555555"/>
      <name val="Calibri"/>
      <family val="2"/>
      <scheme val="minor"/>
    </font>
    <font>
      <sz val="12"/>
      <color rgb="FF808080"/>
      <name val="Calibri"/>
      <family val="2"/>
      <scheme val="minor"/>
    </font>
    <font>
      <i/>
      <sz val="12"/>
      <color rgb="FF444444"/>
      <name val="Calibri"/>
      <family val="2"/>
      <scheme val="minor"/>
    </font>
    <font>
      <sz val="12"/>
      <color rgb="FF7F6000"/>
      <name val="Calibri"/>
      <family val="2"/>
      <scheme val="minor"/>
    </font>
    <font>
      <sz val="12"/>
      <color theme="1"/>
      <name val="Courier New"/>
      <family val="1"/>
    </font>
    <font>
      <sz val="10"/>
      <color theme="1"/>
      <name val="Courier New"/>
      <family val="1"/>
    </font>
    <font>
      <sz val="9"/>
      <color theme="1"/>
      <name val="Courier New"/>
      <family val="1"/>
    </font>
    <font>
      <b/>
      <sz val="16"/>
      <color rgb="FFFFFFFF"/>
      <name val="Calibri"/>
      <family val="2"/>
      <scheme val="minor"/>
    </font>
    <font>
      <i/>
      <sz val="12"/>
      <color rgb="FFFFFFFF"/>
      <name val="Calibri"/>
      <family val="2"/>
      <scheme val="minor"/>
    </font>
    <font>
      <b/>
      <sz val="26"/>
      <color theme="1"/>
      <name val="Calibri"/>
      <family val="2"/>
      <scheme val="minor"/>
    </font>
    <font>
      <b/>
      <sz val="26"/>
      <color rgb="FFC55A11"/>
      <name val="Calibri"/>
      <family val="2"/>
      <scheme val="minor"/>
    </font>
    <font>
      <b/>
      <sz val="26"/>
      <color rgb="FFC00000"/>
      <name val="Calibri"/>
      <family val="2"/>
      <scheme val="minor"/>
    </font>
    <font>
      <b/>
      <sz val="22"/>
      <color theme="1"/>
      <name val="Calibri"/>
      <family val="2"/>
      <scheme val="minor"/>
    </font>
    <font>
      <b/>
      <sz val="22"/>
      <color rgb="FFBF8F00"/>
      <name val="Calibri"/>
      <family val="2"/>
      <scheme val="minor"/>
    </font>
    <font>
      <b/>
      <sz val="22"/>
      <color rgb="FFC00000"/>
      <name val="Calibri"/>
      <family val="2"/>
      <scheme val="minor"/>
    </font>
    <font>
      <b/>
      <sz val="22"/>
      <color rgb="FFC55A11"/>
      <name val="Calibri"/>
      <family val="2"/>
      <scheme val="minor"/>
    </font>
    <font>
      <b/>
      <sz val="22"/>
      <color rgb="FF375623"/>
      <name val="Calibri"/>
      <family val="2"/>
      <scheme val="minor"/>
    </font>
    <font>
      <b/>
      <sz val="18"/>
      <color theme="1"/>
      <name val="Calibri"/>
      <family val="2"/>
      <scheme val="minor"/>
    </font>
    <font>
      <b/>
      <i/>
      <sz val="12"/>
      <color rgb="FF7B2D8E"/>
      <name val="Calibri"/>
      <family val="2"/>
      <scheme val="minor"/>
    </font>
    <font>
      <b/>
      <sz val="12"/>
      <color theme="1"/>
      <name val="Courier New"/>
      <family val="1"/>
    </font>
    <font>
      <sz val="12"/>
      <color rgb="FF000000"/>
      <name val="Calibri"/>
      <family val="2"/>
      <scheme val="minor"/>
    </font>
    <font>
      <b/>
      <sz val="14"/>
      <color theme="1"/>
      <name val="Calibri"/>
      <family val="2"/>
      <scheme val="minor"/>
    </font>
    <font>
      <b/>
      <sz val="14"/>
      <color rgb="FFC00000"/>
      <name val="Calibri"/>
      <family val="2"/>
      <scheme val="minor"/>
    </font>
    <font>
      <b/>
      <sz val="14"/>
      <color rgb="FF0F9D8C"/>
      <name val="Calibri"/>
      <family val="2"/>
      <scheme val="minor"/>
    </font>
    <font>
      <b/>
      <sz val="12"/>
      <color rgb="FF008000"/>
      <name val="Calibri"/>
      <family val="2"/>
      <scheme val="minor"/>
    </font>
    <font>
      <b/>
      <sz val="12"/>
      <color rgb="FFB8860B"/>
      <name val="Calibri"/>
      <family val="2"/>
      <scheme val="minor"/>
    </font>
    <font>
      <b/>
      <sz val="12"/>
      <color rgb="FFC00000"/>
      <name val="Calibri"/>
      <family val="2"/>
      <scheme val="minor"/>
    </font>
    <font>
      <b/>
      <sz val="12"/>
      <color rgb="FF7B2D8E"/>
      <name val="Calibri"/>
      <family val="2"/>
      <scheme val="minor"/>
    </font>
    <font>
      <b/>
      <sz val="12"/>
      <color rgb="FF1F6FC0"/>
      <name val="Calibri"/>
      <family val="2"/>
      <scheme val="minor"/>
    </font>
    <font>
      <b/>
      <sz val="12"/>
      <color rgb="FF888888"/>
      <name val="Calibri"/>
      <family val="2"/>
      <scheme val="minor"/>
    </font>
    <font>
      <u/>
      <sz val="12"/>
      <color theme="10"/>
      <name val="Calibri"/>
      <family val="2"/>
      <scheme val="minor"/>
    </font>
    <font>
      <sz val="12"/>
      <color rgb="FF1E7B34"/>
      <name val="Calibri"/>
      <family val="2"/>
      <scheme val="minor"/>
    </font>
    <font>
      <b/>
      <sz val="12"/>
      <color rgb="FF1E7B34"/>
      <name val="Calibri"/>
      <family val="2"/>
      <scheme val="minor"/>
    </font>
    <font>
      <sz val="12"/>
      <color rgb="FF2E75B6"/>
      <name val="Calibri"/>
      <family val="2"/>
      <scheme val="minor"/>
    </font>
    <font>
      <sz val="12"/>
      <color rgb="FFBF9000"/>
      <name val="Calibri"/>
      <family val="2"/>
      <scheme val="minor"/>
    </font>
    <font>
      <sz val="12"/>
      <color rgb="FF444444"/>
      <name val="Calibri"/>
      <family val="2"/>
      <scheme val="minor"/>
    </font>
    <font>
      <sz val="10"/>
      <color rgb="FF000000"/>
      <name val="Tahoma"/>
      <family val="2"/>
    </font>
    <font>
      <b/>
      <sz val="10"/>
      <color rgb="FF000000"/>
      <name val="Tahoma"/>
      <family val="2"/>
    </font>
    <font>
      <b/>
      <sz val="12"/>
      <color rgb="FF000000"/>
      <name val="Calibri"/>
      <family val="2"/>
      <scheme val="minor"/>
    </font>
    <font>
      <i/>
      <sz val="9"/>
      <color rgb="FF666666"/>
      <name val="Calibri"/>
      <family val="2"/>
      <scheme val="minor"/>
    </font>
    <font>
      <sz val="10"/>
      <color theme="1"/>
      <name val="Menlo"/>
      <family val="2"/>
    </font>
    <font>
      <b/>
      <sz val="10"/>
      <color rgb="FFFFFFFF"/>
      <name val="Menlo"/>
      <family val="2"/>
    </font>
    <font>
      <sz val="12"/>
      <color rgb="FF008000"/>
      <name val="Calibri"/>
      <family val="2"/>
      <scheme val="minor"/>
    </font>
    <font>
      <b/>
      <sz val="12"/>
      <color rgb="FFBF8F00"/>
      <name val="Calibri"/>
      <family val="2"/>
      <scheme val="minor"/>
    </font>
    <font>
      <b/>
      <sz val="12"/>
      <color rgb="FF1F3864"/>
      <name val="Calibri"/>
      <family val="2"/>
      <scheme val="minor"/>
    </font>
    <font>
      <sz val="12"/>
      <color rgb="FFBF8F00"/>
      <name val="Calibri"/>
      <family val="2"/>
      <scheme val="minor"/>
    </font>
    <font>
      <sz val="12"/>
      <color rgb="FF1F6FC0"/>
      <name val="Calibri"/>
      <family val="2"/>
      <scheme val="minor"/>
    </font>
    <font>
      <b/>
      <sz val="12"/>
      <color rgb="FF006100"/>
      <name val="Calibri"/>
      <family val="2"/>
      <scheme val="minor"/>
    </font>
    <font>
      <b/>
      <sz val="12"/>
      <color rgb="FF808080"/>
      <name val="Calibri"/>
      <family val="2"/>
      <scheme val="minor"/>
    </font>
    <font>
      <b/>
      <sz val="12"/>
      <color rgb="FF444444"/>
      <name val="Calibri"/>
      <family val="2"/>
      <scheme val="minor"/>
    </font>
    <font>
      <i/>
      <sz val="12"/>
      <color theme="1"/>
      <name val="Calibri"/>
      <family val="2"/>
      <scheme val="minor"/>
    </font>
    <font>
      <b/>
      <sz val="12"/>
      <color rgb="FFC55A11"/>
      <name val="Calibri"/>
      <family val="2"/>
      <scheme val="minor"/>
    </font>
    <font>
      <b/>
      <sz val="18"/>
      <color rgb="FFFFFFFF"/>
      <name val="Calibri"/>
      <family val="2"/>
      <scheme val="minor"/>
    </font>
    <font>
      <sz val="18"/>
      <color theme="1"/>
      <name val="Calibri"/>
      <family val="2"/>
      <scheme val="minor"/>
    </font>
    <font>
      <i/>
      <sz val="18"/>
      <color rgb="FF444444"/>
      <name val="Calibri"/>
      <family val="2"/>
      <scheme val="minor"/>
    </font>
    <font>
      <b/>
      <sz val="18"/>
      <color rgb="FF1F6FC0"/>
      <name val="Calibri"/>
      <family val="2"/>
      <scheme val="minor"/>
    </font>
    <font>
      <sz val="18"/>
      <color rgb="FF1F6FC0"/>
      <name val="Calibri"/>
      <family val="2"/>
      <scheme val="minor"/>
    </font>
    <font>
      <i/>
      <sz val="12"/>
      <color rgb="FF808080"/>
      <name val="Calibri"/>
      <family val="2"/>
      <scheme val="minor"/>
    </font>
    <font>
      <i/>
      <sz val="12"/>
      <color rgb="FFC55A11"/>
      <name val="Calibri"/>
      <family val="2"/>
      <scheme val="minor"/>
    </font>
    <font>
      <b/>
      <sz val="12"/>
      <color rgb="FF1F6FC0"/>
      <name val="Menlo"/>
      <family val="2"/>
    </font>
    <font>
      <b/>
      <i/>
      <sz val="12"/>
      <color rgb="FF1F3864"/>
      <name val="Calibri"/>
      <family val="2"/>
      <scheme val="minor"/>
    </font>
    <font>
      <i/>
      <sz val="12"/>
      <color rgb="FF008000"/>
      <name val="Calibri"/>
      <family val="2"/>
      <scheme val="minor"/>
    </font>
    <font>
      <i/>
      <sz val="12"/>
      <color rgb="FF7B2D8E"/>
      <name val="Calibri"/>
      <family val="2"/>
      <scheme val="minor"/>
    </font>
  </fonts>
  <fills count="41">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C00000"/>
        <bgColor indexed="64"/>
      </patternFill>
    </fill>
    <fill>
      <patternFill patternType="solid">
        <fgColor rgb="FF70AD47"/>
        <bgColor indexed="64"/>
      </patternFill>
    </fill>
    <fill>
      <patternFill patternType="solid">
        <fgColor rgb="FFFFC7CE"/>
        <bgColor indexed="64"/>
      </patternFill>
    </fill>
    <fill>
      <patternFill patternType="solid">
        <fgColor rgb="FFFFEB9C"/>
        <bgColor indexed="64"/>
      </patternFill>
    </fill>
    <fill>
      <patternFill patternType="solid">
        <fgColor rgb="FFFFFFCC"/>
        <bgColor indexed="64"/>
      </patternFill>
    </fill>
    <fill>
      <patternFill patternType="solid">
        <fgColor rgb="FF548235"/>
        <bgColor indexed="64"/>
      </patternFill>
    </fill>
    <fill>
      <patternFill patternType="solid">
        <fgColor rgb="FF7030A0"/>
        <bgColor indexed="64"/>
      </patternFill>
    </fill>
    <fill>
      <patternFill patternType="solid">
        <fgColor rgb="FFFFE699"/>
        <bgColor indexed="64"/>
      </patternFill>
    </fill>
    <fill>
      <patternFill patternType="solid">
        <fgColor rgb="FFFFC000"/>
        <bgColor indexed="64"/>
      </patternFill>
    </fill>
    <fill>
      <patternFill patternType="solid">
        <fgColor rgb="FFD9D9D9"/>
        <bgColor indexed="64"/>
      </patternFill>
    </fill>
    <fill>
      <patternFill patternType="solid">
        <fgColor rgb="FF7B2D8E"/>
        <bgColor indexed="64"/>
      </patternFill>
    </fill>
    <fill>
      <patternFill patternType="solid">
        <fgColor rgb="FF1F6FC0"/>
        <bgColor indexed="64"/>
      </patternFill>
    </fill>
    <fill>
      <patternFill patternType="solid">
        <fgColor rgb="FFC6EFCE"/>
        <bgColor indexed="64"/>
      </patternFill>
    </fill>
    <fill>
      <patternFill patternType="solid">
        <fgColor rgb="FFF2F6FB"/>
        <bgColor indexed="64"/>
      </patternFill>
    </fill>
    <fill>
      <patternFill patternType="solid">
        <fgColor rgb="FFED7D31"/>
        <bgColor indexed="64"/>
      </patternFill>
    </fill>
    <fill>
      <patternFill patternType="solid">
        <fgColor rgb="FFD9E1F2"/>
        <bgColor indexed="64"/>
      </patternFill>
    </fill>
    <fill>
      <patternFill patternType="solid">
        <fgColor rgb="FFBF8F00"/>
        <bgColor indexed="64"/>
      </patternFill>
    </fill>
    <fill>
      <patternFill patternType="solid">
        <fgColor rgb="FFFFF2CC"/>
        <bgColor indexed="64"/>
      </patternFill>
    </fill>
    <fill>
      <patternFill patternType="solid">
        <fgColor rgb="FFF2F2F2"/>
        <bgColor indexed="64"/>
      </patternFill>
    </fill>
    <fill>
      <patternFill patternType="solid">
        <fgColor rgb="FFF7F7F7"/>
        <bgColor indexed="64"/>
      </patternFill>
    </fill>
    <fill>
      <patternFill patternType="solid">
        <fgColor rgb="FFFCE4D6"/>
        <bgColor indexed="64"/>
      </patternFill>
    </fill>
    <fill>
      <patternFill patternType="solid">
        <fgColor rgb="FFBFBFBF"/>
        <bgColor indexed="64"/>
      </patternFill>
    </fill>
    <fill>
      <patternFill patternType="solid">
        <fgColor rgb="FFE9D7EE"/>
        <bgColor indexed="64"/>
      </patternFill>
    </fill>
    <fill>
      <patternFill patternType="solid">
        <fgColor rgb="FFF4CCCC"/>
        <bgColor indexed="64"/>
      </patternFill>
    </fill>
    <fill>
      <patternFill patternType="solid">
        <fgColor rgb="FFCFE2F3"/>
        <bgColor indexed="64"/>
      </patternFill>
    </fill>
    <fill>
      <patternFill patternType="solid">
        <fgColor rgb="FFE2EFDA"/>
        <bgColor indexed="64"/>
      </patternFill>
    </fill>
    <fill>
      <patternFill patternType="solid">
        <fgColor rgb="FF0F9D8C"/>
        <bgColor indexed="64"/>
      </patternFill>
    </fill>
    <fill>
      <patternFill patternType="solid">
        <fgColor rgb="FFE84B8A"/>
        <bgColor indexed="64"/>
      </patternFill>
    </fill>
    <fill>
      <patternFill patternType="solid">
        <fgColor rgb="FFE6B400"/>
        <bgColor indexed="64"/>
      </patternFill>
    </fill>
    <fill>
      <patternFill patternType="solid">
        <fgColor rgb="FFFFF6B3"/>
        <bgColor indexed="64"/>
      </patternFill>
    </fill>
    <fill>
      <patternFill patternType="solid">
        <fgColor rgb="FFFFD966"/>
        <bgColor indexed="64"/>
      </patternFill>
    </fill>
    <fill>
      <patternFill patternType="solid">
        <fgColor rgb="FFF2E9F5"/>
        <bgColor indexed="64"/>
      </patternFill>
    </fill>
    <fill>
      <patternFill patternType="solid">
        <fgColor rgb="FFC55A11"/>
        <bgColor indexed="64"/>
      </patternFill>
    </fill>
    <fill>
      <patternFill patternType="solid">
        <fgColor rgb="FF006100"/>
        <bgColor indexed="64"/>
      </patternFill>
    </fill>
    <fill>
      <patternFill patternType="solid">
        <fgColor rgb="FF008000"/>
        <bgColor indexed="64"/>
      </patternFill>
    </fill>
    <fill>
      <patternFill patternType="solid">
        <fgColor rgb="FF7B6000"/>
        <bgColor indexed="64"/>
      </patternFill>
    </fill>
    <fill>
      <patternFill patternType="solid">
        <fgColor rgb="FF8E44AD"/>
        <bgColor indexed="64"/>
      </patternFill>
    </fill>
  </fills>
  <borders count="44">
    <border>
      <left/>
      <right/>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auto="1"/>
      </bottom>
      <diagonal/>
    </border>
    <border>
      <left/>
      <right style="thin">
        <color rgb="FFD9D9D9"/>
      </right>
      <top style="thin">
        <color rgb="FFD9D9D9"/>
      </top>
      <bottom style="thin">
        <color rgb="FF808080"/>
      </bottom>
      <diagonal/>
    </border>
    <border>
      <left style="thin">
        <color rgb="FFD9D9D9"/>
      </left>
      <right style="thin">
        <color rgb="FFD9D9D9"/>
      </right>
      <top style="thin">
        <color rgb="FFD9D9D9"/>
      </top>
      <bottom style="thin">
        <color rgb="FF808080"/>
      </bottom>
      <diagonal/>
    </border>
    <border>
      <left style="thin">
        <color rgb="FFD9D9D9"/>
      </left>
      <right/>
      <top style="thin">
        <color rgb="FFD9D9D9"/>
      </top>
      <bottom style="thin">
        <color rgb="FF808080"/>
      </bottom>
      <diagonal/>
    </border>
    <border>
      <left/>
      <right/>
      <top/>
      <bottom style="thin">
        <color rgb="FFBFBFBF"/>
      </bottom>
      <diagonal/>
    </border>
    <border>
      <left style="thin">
        <color rgb="FFBFBFBF"/>
      </left>
      <right/>
      <top/>
      <bottom/>
      <diagonal/>
    </border>
    <border>
      <left style="thin">
        <color rgb="FFBFBFBF"/>
      </left>
      <right style="thin">
        <color auto="1"/>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auto="1"/>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auto="1"/>
      </left>
      <right style="thin">
        <color rgb="FFD9D9D9"/>
      </right>
      <top style="thin">
        <color auto="1"/>
      </top>
      <bottom style="thin">
        <color rgb="FFD9D9D9"/>
      </bottom>
      <diagonal/>
    </border>
    <border>
      <left style="thin">
        <color rgb="FFD9D9D9"/>
      </left>
      <right style="thin">
        <color rgb="FFD9D9D9"/>
      </right>
      <top style="thin">
        <color auto="1"/>
      </top>
      <bottom style="thin">
        <color rgb="FFD9D9D9"/>
      </bottom>
      <diagonal/>
    </border>
    <border>
      <left style="thin">
        <color rgb="FFD9D9D9"/>
      </left>
      <right style="thin">
        <color auto="1"/>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rgb="FFD9D9D9"/>
      </left>
      <right style="thin">
        <color auto="1"/>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auto="1"/>
      </right>
      <top style="thin">
        <color rgb="FFD9D9D9"/>
      </top>
      <bottom style="thin">
        <color auto="1"/>
      </bottom>
      <diagonal/>
    </border>
    <border>
      <left/>
      <right/>
      <top/>
      <bottom style="thin">
        <color rgb="FFBBBBBB"/>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auto="1"/>
      </left>
      <right style="thin">
        <color rgb="FFBFBFBF"/>
      </right>
      <top/>
      <bottom style="thin">
        <color rgb="FFBFBFBF"/>
      </bottom>
      <diagonal/>
    </border>
    <border>
      <left style="thin">
        <color rgb="FFBFBFBF"/>
      </left>
      <right style="thin">
        <color auto="1"/>
      </right>
      <top/>
      <bottom style="thin">
        <color rgb="FFBFBFBF"/>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45" fillId="0" borderId="0" applyNumberFormat="0" applyFill="0" applyBorder="0" applyAlignment="0" applyProtection="0"/>
  </cellStyleXfs>
  <cellXfs count="418">
    <xf numFmtId="0" fontId="0" fillId="0" borderId="0" xfId="0"/>
    <xf numFmtId="0" fontId="5" fillId="2" borderId="0" xfId="0" applyFont="1" applyFill="1"/>
    <xf numFmtId="0" fontId="6" fillId="3" borderId="0" xfId="0" applyFont="1" applyFill="1"/>
    <xf numFmtId="0" fontId="6" fillId="3" borderId="0" xfId="0" applyFont="1" applyFill="1" applyAlignment="1">
      <alignment horizontal="center"/>
    </xf>
    <xf numFmtId="0" fontId="5" fillId="2" borderId="0" xfId="0" applyFont="1" applyFill="1" applyAlignment="1">
      <alignment horizontal="left"/>
    </xf>
    <xf numFmtId="0" fontId="6" fillId="4" borderId="0" xfId="0" applyFont="1" applyFill="1" applyAlignment="1">
      <alignment horizontal="center"/>
    </xf>
    <xf numFmtId="0" fontId="6" fillId="5" borderId="0" xfId="0" applyFont="1" applyFill="1" applyAlignment="1">
      <alignment horizontal="center"/>
    </xf>
    <xf numFmtId="164" fontId="0" fillId="0" borderId="0" xfId="0" applyNumberFormat="1"/>
    <xf numFmtId="0" fontId="7" fillId="6" borderId="0" xfId="0" applyFont="1" applyFill="1"/>
    <xf numFmtId="0" fontId="2" fillId="6" borderId="0" xfId="0" applyFont="1" applyFill="1"/>
    <xf numFmtId="0" fontId="8" fillId="0" borderId="0" xfId="0" applyFont="1"/>
    <xf numFmtId="0" fontId="8" fillId="7" borderId="0" xfId="0" applyFont="1" applyFill="1"/>
    <xf numFmtId="0" fontId="0" fillId="8" borderId="0" xfId="0" applyFill="1"/>
    <xf numFmtId="0" fontId="3" fillId="0" borderId="0" xfId="0" applyFont="1"/>
    <xf numFmtId="0" fontId="3" fillId="6" borderId="0" xfId="0" applyFont="1" applyFill="1"/>
    <xf numFmtId="0" fontId="0" fillId="7" borderId="0" xfId="0" applyFill="1"/>
    <xf numFmtId="0" fontId="9" fillId="0" borderId="0" xfId="0" applyFont="1"/>
    <xf numFmtId="0" fontId="6" fillId="9" borderId="0" xfId="0" applyFont="1" applyFill="1" applyAlignment="1">
      <alignment horizontal="center"/>
    </xf>
    <xf numFmtId="0" fontId="6" fillId="10" borderId="0" xfId="0" applyFont="1" applyFill="1" applyAlignment="1">
      <alignment horizontal="center"/>
    </xf>
    <xf numFmtId="0" fontId="6" fillId="4" borderId="0" xfId="0" applyFont="1" applyFill="1"/>
    <xf numFmtId="14" fontId="0" fillId="0" borderId="0" xfId="0" applyNumberFormat="1"/>
    <xf numFmtId="9" fontId="0" fillId="0" borderId="0" xfId="0" applyNumberFormat="1"/>
    <xf numFmtId="0" fontId="0" fillId="11" borderId="0" xfId="0" applyFill="1"/>
    <xf numFmtId="0" fontId="0" fillId="12" borderId="0" xfId="0" applyFill="1"/>
    <xf numFmtId="0" fontId="10" fillId="0" borderId="0" xfId="0" applyFont="1"/>
    <xf numFmtId="0" fontId="0" fillId="13" borderId="0" xfId="0" applyFill="1"/>
    <xf numFmtId="0" fontId="1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3" xfId="0" applyBorder="1"/>
    <xf numFmtId="0" fontId="6" fillId="3" borderId="14" xfId="0" applyFont="1" applyFill="1" applyBorder="1"/>
    <xf numFmtId="0" fontId="6" fillId="9" borderId="14" xfId="0" applyFont="1" applyFill="1" applyBorder="1"/>
    <xf numFmtId="0" fontId="0" fillId="0" borderId="14" xfId="0" applyBorder="1"/>
    <xf numFmtId="0" fontId="4" fillId="14" borderId="14" xfId="0" applyFont="1" applyFill="1" applyBorder="1"/>
    <xf numFmtId="0" fontId="4" fillId="4" borderId="14" xfId="0" applyFont="1" applyFill="1" applyBorder="1"/>
    <xf numFmtId="0" fontId="4" fillId="15" borderId="14" xfId="0" applyFont="1" applyFill="1" applyBorder="1"/>
    <xf numFmtId="0" fontId="13" fillId="0" borderId="14" xfId="0" applyFont="1" applyBorder="1"/>
    <xf numFmtId="0" fontId="1" fillId="16" borderId="14" xfId="0" applyFont="1" applyFill="1" applyBorder="1" applyAlignment="1">
      <alignment horizontal="center"/>
    </xf>
    <xf numFmtId="0" fontId="14" fillId="7" borderId="14" xfId="0" applyFont="1" applyFill="1" applyBorder="1" applyAlignment="1">
      <alignment horizontal="center"/>
    </xf>
    <xf numFmtId="0" fontId="6" fillId="3" borderId="16" xfId="0" applyFont="1" applyFill="1" applyBorder="1"/>
    <xf numFmtId="0" fontId="0" fillId="0" borderId="16" xfId="0" applyBorder="1"/>
    <xf numFmtId="0" fontId="6" fillId="3" borderId="17" xfId="0" applyFont="1" applyFill="1" applyBorder="1"/>
    <xf numFmtId="0" fontId="6" fillId="3" borderId="18" xfId="0" applyFont="1" applyFill="1" applyBorder="1"/>
    <xf numFmtId="0" fontId="6" fillId="3" borderId="19" xfId="0" applyFont="1" applyFill="1" applyBorder="1"/>
    <xf numFmtId="0" fontId="0" fillId="0" borderId="20" xfId="0" applyBorder="1"/>
    <xf numFmtId="165" fontId="0" fillId="0" borderId="5" xfId="0" applyNumberFormat="1" applyBorder="1"/>
    <xf numFmtId="0" fontId="0" fillId="0" borderId="21" xfId="0" applyBorder="1"/>
    <xf numFmtId="0" fontId="0" fillId="17" borderId="20" xfId="0" applyFill="1" applyBorder="1"/>
    <xf numFmtId="0" fontId="0" fillId="17" borderId="5" xfId="0" applyFill="1" applyBorder="1"/>
    <xf numFmtId="165" fontId="0" fillId="17" borderId="5" xfId="0" applyNumberFormat="1" applyFill="1" applyBorder="1"/>
    <xf numFmtId="0" fontId="0" fillId="17" borderId="21" xfId="0" applyFill="1" applyBorder="1"/>
    <xf numFmtId="0" fontId="3" fillId="17" borderId="22" xfId="0" applyFont="1" applyFill="1" applyBorder="1"/>
    <xf numFmtId="0" fontId="0" fillId="17" borderId="7" xfId="0" applyFill="1" applyBorder="1"/>
    <xf numFmtId="0" fontId="3" fillId="17" borderId="7" xfId="0" applyFont="1" applyFill="1" applyBorder="1"/>
    <xf numFmtId="165" fontId="3" fillId="17" borderId="7" xfId="0" applyNumberFormat="1" applyFont="1" applyFill="1" applyBorder="1"/>
    <xf numFmtId="0" fontId="0" fillId="17" borderId="23" xfId="0" applyFill="1" applyBorder="1"/>
    <xf numFmtId="0" fontId="6" fillId="4" borderId="16" xfId="0" applyFont="1" applyFill="1" applyBorder="1"/>
    <xf numFmtId="0" fontId="6" fillId="18" borderId="16" xfId="0" applyFont="1" applyFill="1" applyBorder="1"/>
    <xf numFmtId="14" fontId="0" fillId="0" borderId="16" xfId="0" applyNumberFormat="1" applyBorder="1"/>
    <xf numFmtId="0" fontId="2" fillId="6" borderId="16" xfId="0" applyFont="1" applyFill="1" applyBorder="1"/>
    <xf numFmtId="0" fontId="14" fillId="7" borderId="16" xfId="0" applyFont="1" applyFill="1" applyBorder="1"/>
    <xf numFmtId="0" fontId="16" fillId="13" borderId="16" xfId="0" applyFont="1" applyFill="1" applyBorder="1"/>
    <xf numFmtId="0" fontId="17" fillId="0" borderId="0" xfId="0" applyFont="1"/>
    <xf numFmtId="0" fontId="6" fillId="14" borderId="0" xfId="0" applyFont="1" applyFill="1"/>
    <xf numFmtId="0" fontId="6" fillId="14" borderId="14" xfId="0" applyFont="1" applyFill="1" applyBorder="1"/>
    <xf numFmtId="0" fontId="6" fillId="20" borderId="14" xfId="0" applyFont="1" applyFill="1" applyBorder="1"/>
    <xf numFmtId="0" fontId="6" fillId="4" borderId="14" xfId="0" applyFont="1" applyFill="1" applyBorder="1"/>
    <xf numFmtId="14" fontId="0" fillId="0" borderId="14" xfId="0" applyNumberFormat="1" applyBorder="1"/>
    <xf numFmtId="0" fontId="18" fillId="21" borderId="16" xfId="0" applyFont="1" applyFill="1" applyBorder="1"/>
    <xf numFmtId="0" fontId="20" fillId="22" borderId="0" xfId="0" applyFont="1" applyFill="1"/>
    <xf numFmtId="0" fontId="6" fillId="14" borderId="25" xfId="0" applyFont="1" applyFill="1" applyBorder="1"/>
    <xf numFmtId="0" fontId="0" fillId="0" borderId="25" xfId="0" applyBorder="1"/>
    <xf numFmtId="0" fontId="21" fillId="23" borderId="25" xfId="0" applyFont="1" applyFill="1" applyBorder="1"/>
    <xf numFmtId="0" fontId="6" fillId="2" borderId="0" xfId="0" applyFont="1" applyFill="1" applyAlignment="1">
      <alignment horizontal="center"/>
    </xf>
    <xf numFmtId="0" fontId="0" fillId="2" borderId="0" xfId="0" applyFill="1"/>
    <xf numFmtId="0" fontId="6" fillId="3" borderId="12" xfId="0" applyFont="1" applyFill="1" applyBorder="1"/>
    <xf numFmtId="0" fontId="0" fillId="0" borderId="26" xfId="0" applyBorder="1"/>
    <xf numFmtId="0" fontId="1" fillId="16" borderId="26" xfId="0" applyFont="1" applyFill="1" applyBorder="1" applyAlignment="1">
      <alignment horizontal="center"/>
    </xf>
    <xf numFmtId="0" fontId="14" fillId="7" borderId="26" xfId="0" applyFont="1" applyFill="1" applyBorder="1" applyAlignment="1">
      <alignment horizontal="center"/>
    </xf>
    <xf numFmtId="0" fontId="0" fillId="0" borderId="26" xfId="0" quotePrefix="1" applyBorder="1"/>
    <xf numFmtId="0" fontId="22" fillId="2" borderId="0" xfId="0" applyFont="1" applyFill="1" applyAlignment="1">
      <alignment horizontal="left"/>
    </xf>
    <xf numFmtId="0" fontId="23" fillId="3" borderId="0" xfId="0" applyFont="1" applyFill="1"/>
    <xf numFmtId="0" fontId="3" fillId="0" borderId="0" xfId="0" applyFont="1" applyAlignment="1">
      <alignment horizontal="center"/>
    </xf>
    <xf numFmtId="0" fontId="24" fillId="19" borderId="0" xfId="0" applyFont="1" applyFill="1" applyAlignment="1">
      <alignment horizontal="center"/>
    </xf>
    <xf numFmtId="0" fontId="25" fillId="24" borderId="0" xfId="0" applyFont="1" applyFill="1" applyAlignment="1">
      <alignment horizontal="center"/>
    </xf>
    <xf numFmtId="0" fontId="26" fillId="6" borderId="0" xfId="0" applyFont="1" applyFill="1" applyAlignment="1">
      <alignment horizontal="center"/>
    </xf>
    <xf numFmtId="0" fontId="6" fillId="14" borderId="0" xfId="0" applyFont="1" applyFill="1" applyAlignment="1">
      <alignment horizontal="center"/>
    </xf>
    <xf numFmtId="0" fontId="6" fillId="15" borderId="0" xfId="0" applyFont="1" applyFill="1" applyAlignment="1">
      <alignment horizontal="center"/>
    </xf>
    <xf numFmtId="0" fontId="3" fillId="25" borderId="0" xfId="0" applyFont="1" applyFill="1" applyAlignment="1">
      <alignment horizontal="center"/>
    </xf>
    <xf numFmtId="0" fontId="27" fillId="26" borderId="0" xfId="0" applyFont="1" applyFill="1" applyAlignment="1">
      <alignment horizontal="center"/>
    </xf>
    <xf numFmtId="0" fontId="27" fillId="27" borderId="0" xfId="0" applyFont="1" applyFill="1" applyAlignment="1">
      <alignment horizontal="center"/>
    </xf>
    <xf numFmtId="0" fontId="27" fillId="28" borderId="0" xfId="0" applyFont="1" applyFill="1" applyAlignment="1">
      <alignment horizontal="center"/>
    </xf>
    <xf numFmtId="0" fontId="27" fillId="22" borderId="0" xfId="0" applyFont="1" applyFill="1" applyAlignment="1">
      <alignment horizontal="center"/>
    </xf>
    <xf numFmtId="0" fontId="27" fillId="19" borderId="0" xfId="0" applyFont="1" applyFill="1" applyAlignment="1">
      <alignment horizontal="center"/>
    </xf>
    <xf numFmtId="0" fontId="28" fillId="21" borderId="0" xfId="0" applyFont="1" applyFill="1" applyAlignment="1">
      <alignment horizontal="center"/>
    </xf>
    <xf numFmtId="0" fontId="29" fillId="6" borderId="0" xfId="0" applyFont="1" applyFill="1" applyAlignment="1">
      <alignment horizontal="center"/>
    </xf>
    <xf numFmtId="0" fontId="30" fillId="24" borderId="0" xfId="0" applyFont="1" applyFill="1" applyAlignment="1">
      <alignment horizontal="center"/>
    </xf>
    <xf numFmtId="0" fontId="31" fillId="29" borderId="0" xfId="0" applyFont="1" applyFill="1" applyAlignment="1">
      <alignment horizontal="center"/>
    </xf>
    <xf numFmtId="3" fontId="32" fillId="19" borderId="0" xfId="0" applyNumberFormat="1" applyFont="1" applyFill="1" applyAlignment="1">
      <alignment horizontal="center"/>
    </xf>
    <xf numFmtId="3" fontId="32" fillId="29" borderId="0" xfId="0" applyNumberFormat="1" applyFont="1" applyFill="1" applyAlignment="1">
      <alignment horizontal="center"/>
    </xf>
    <xf numFmtId="165" fontId="32" fillId="21" borderId="0" xfId="0" applyNumberFormat="1" applyFont="1" applyFill="1" applyAlignment="1">
      <alignment horizontal="center"/>
    </xf>
    <xf numFmtId="0" fontId="0" fillId="16" borderId="16" xfId="0" applyFill="1" applyBorder="1"/>
    <xf numFmtId="0" fontId="0" fillId="7" borderId="16" xfId="0" applyFill="1" applyBorder="1"/>
    <xf numFmtId="0" fontId="0" fillId="6" borderId="16" xfId="0" applyFill="1" applyBorder="1"/>
    <xf numFmtId="0" fontId="33" fillId="0" borderId="0" xfId="0" applyFont="1"/>
    <xf numFmtId="0" fontId="0" fillId="0" borderId="14" xfId="0" applyBorder="1" applyAlignment="1">
      <alignment wrapText="1"/>
    </xf>
    <xf numFmtId="0" fontId="22" fillId="2" borderId="0" xfId="0" applyFont="1" applyFill="1" applyAlignment="1">
      <alignment vertical="top"/>
    </xf>
    <xf numFmtId="0" fontId="0" fillId="0" borderId="0" xfId="0" applyAlignment="1">
      <alignment vertical="top"/>
    </xf>
    <xf numFmtId="0" fontId="6" fillId="14" borderId="0" xfId="0" applyFont="1" applyFill="1" applyAlignment="1">
      <alignment vertical="top"/>
    </xf>
    <xf numFmtId="0" fontId="0" fillId="0" borderId="0" xfId="0" applyAlignment="1">
      <alignment vertical="top" wrapText="1"/>
    </xf>
    <xf numFmtId="0" fontId="6" fillId="3" borderId="14" xfId="0" applyFont="1" applyFill="1" applyBorder="1" applyAlignment="1">
      <alignment vertical="top"/>
    </xf>
    <xf numFmtId="0" fontId="0" fillId="0" borderId="14" xfId="0" applyBorder="1" applyAlignment="1">
      <alignment vertical="top"/>
    </xf>
    <xf numFmtId="0" fontId="0" fillId="0" borderId="14" xfId="0" applyBorder="1" applyAlignment="1">
      <alignment vertical="top" wrapText="1"/>
    </xf>
    <xf numFmtId="0" fontId="6" fillId="4" borderId="0" xfId="0" applyFont="1" applyFill="1" applyAlignment="1">
      <alignment vertical="top"/>
    </xf>
    <xf numFmtId="0" fontId="34" fillId="22" borderId="0" xfId="0" applyFont="1" applyFill="1"/>
    <xf numFmtId="0" fontId="19" fillId="29" borderId="0" xfId="0" applyFont="1" applyFill="1"/>
    <xf numFmtId="0" fontId="3" fillId="0" borderId="14" xfId="0" applyFont="1" applyBorder="1"/>
    <xf numFmtId="0" fontId="0" fillId="21" borderId="14" xfId="0" applyFill="1" applyBorder="1"/>
    <xf numFmtId="0" fontId="6" fillId="15" borderId="14" xfId="0" applyFont="1" applyFill="1" applyBorder="1"/>
    <xf numFmtId="0" fontId="34" fillId="29" borderId="14" xfId="0" applyFont="1" applyFill="1" applyBorder="1"/>
    <xf numFmtId="0" fontId="19" fillId="21" borderId="14" xfId="0" applyFont="1" applyFill="1" applyBorder="1"/>
    <xf numFmtId="14" fontId="0" fillId="21" borderId="14" xfId="0" applyNumberFormat="1" applyFill="1" applyBorder="1"/>
    <xf numFmtId="0" fontId="19" fillId="29" borderId="14" xfId="0" applyFont="1" applyFill="1" applyBorder="1"/>
    <xf numFmtId="0" fontId="4" fillId="30" borderId="26" xfId="0" applyFont="1" applyFill="1" applyBorder="1"/>
    <xf numFmtId="0" fontId="4" fillId="31" borderId="26" xfId="0" applyFont="1" applyFill="1" applyBorder="1"/>
    <xf numFmtId="0" fontId="35" fillId="32" borderId="26" xfId="0" applyFont="1" applyFill="1" applyBorder="1"/>
    <xf numFmtId="0" fontId="22" fillId="2" borderId="0" xfId="0" applyFont="1" applyFill="1"/>
    <xf numFmtId="0" fontId="3" fillId="0" borderId="15" xfId="0" applyFont="1" applyBorder="1"/>
    <xf numFmtId="0" fontId="39" fillId="0" borderId="14" xfId="0" applyFont="1" applyBorder="1"/>
    <xf numFmtId="0" fontId="40" fillId="0" borderId="14" xfId="0" applyFont="1" applyBorder="1"/>
    <xf numFmtId="0" fontId="41" fillId="0" borderId="14" xfId="0" applyFont="1" applyBorder="1"/>
    <xf numFmtId="0" fontId="42" fillId="0" borderId="14" xfId="0" applyFont="1" applyBorder="1"/>
    <xf numFmtId="0" fontId="43" fillId="0" borderId="14" xfId="0" applyFont="1" applyBorder="1"/>
    <xf numFmtId="0" fontId="44" fillId="0" borderId="14" xfId="0" applyFont="1" applyBorder="1"/>
    <xf numFmtId="0" fontId="6" fillId="32" borderId="14" xfId="0" applyFont="1" applyFill="1" applyBorder="1"/>
    <xf numFmtId="0" fontId="0" fillId="33" borderId="14" xfId="0" applyFill="1" applyBorder="1"/>
    <xf numFmtId="165" fontId="36" fillId="0" borderId="14" xfId="0" applyNumberFormat="1" applyFont="1" applyBorder="1"/>
    <xf numFmtId="0" fontId="37" fillId="0" borderId="14" xfId="0" applyFont="1" applyBorder="1"/>
    <xf numFmtId="0" fontId="38" fillId="0" borderId="14" xfId="0" applyFont="1" applyBorder="1"/>
    <xf numFmtId="0" fontId="3" fillId="0" borderId="28" xfId="0" applyFont="1" applyBorder="1"/>
    <xf numFmtId="0" fontId="0" fillId="0" borderId="29" xfId="0" applyBorder="1"/>
    <xf numFmtId="0" fontId="0" fillId="0" borderId="27" xfId="0" applyBorder="1" applyAlignment="1">
      <alignment wrapText="1"/>
    </xf>
    <xf numFmtId="0" fontId="6" fillId="14" borderId="30" xfId="0" applyFont="1" applyFill="1" applyBorder="1"/>
    <xf numFmtId="0" fontId="0" fillId="0" borderId="30" xfId="0" applyBorder="1"/>
    <xf numFmtId="0" fontId="46" fillId="0" borderId="0" xfId="0" applyFont="1"/>
    <xf numFmtId="0" fontId="47" fillId="0" borderId="0" xfId="0" applyFont="1"/>
    <xf numFmtId="0" fontId="48" fillId="0" borderId="0" xfId="0" applyFont="1"/>
    <xf numFmtId="0" fontId="49" fillId="0" borderId="0" xfId="0" applyFont="1"/>
    <xf numFmtId="0" fontId="41" fillId="0" borderId="0" xfId="0" applyFont="1"/>
    <xf numFmtId="0" fontId="50" fillId="0" borderId="0" xfId="0" applyFont="1"/>
    <xf numFmtId="0" fontId="0" fillId="0" borderId="32" xfId="0" applyBorder="1"/>
    <xf numFmtId="0" fontId="0" fillId="0" borderId="35" xfId="0" applyBorder="1"/>
    <xf numFmtId="9" fontId="0" fillId="0" borderId="14" xfId="0" applyNumberFormat="1" applyBorder="1"/>
    <xf numFmtId="0" fontId="0" fillId="0" borderId="31" xfId="0" applyBorder="1"/>
    <xf numFmtId="0" fontId="6" fillId="30" borderId="14" xfId="0" applyFont="1" applyFill="1" applyBorder="1"/>
    <xf numFmtId="0" fontId="6" fillId="3" borderId="32" xfId="0" applyFont="1" applyFill="1" applyBorder="1"/>
    <xf numFmtId="0" fontId="6" fillId="3" borderId="36" xfId="0" applyFont="1" applyFill="1" applyBorder="1"/>
    <xf numFmtId="0" fontId="6" fillId="3" borderId="37" xfId="0" applyFont="1" applyFill="1" applyBorder="1"/>
    <xf numFmtId="0" fontId="6" fillId="3" borderId="38" xfId="0" applyFont="1"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6" fillId="3" borderId="39" xfId="0" applyFont="1" applyFill="1" applyBorder="1"/>
    <xf numFmtId="0" fontId="6" fillId="3" borderId="40" xfId="0" applyFont="1" applyFill="1" applyBorder="1"/>
    <xf numFmtId="0" fontId="6" fillId="14" borderId="32" xfId="0" applyFont="1" applyFill="1" applyBorder="1"/>
    <xf numFmtId="0" fontId="6" fillId="14" borderId="36" xfId="0" applyFont="1" applyFill="1" applyBorder="1"/>
    <xf numFmtId="0" fontId="0" fillId="0" borderId="38" xfId="0" applyBorder="1"/>
    <xf numFmtId="0" fontId="6" fillId="14" borderId="39" xfId="0" applyFont="1" applyFill="1" applyBorder="1"/>
    <xf numFmtId="0" fontId="6" fillId="14" borderId="16" xfId="0" applyFont="1" applyFill="1" applyBorder="1"/>
    <xf numFmtId="0" fontId="53" fillId="34" borderId="0" xfId="0" applyFont="1" applyFill="1" applyAlignment="1">
      <alignment horizontal="center"/>
    </xf>
    <xf numFmtId="0" fontId="54" fillId="0" borderId="0" xfId="0" applyFont="1"/>
    <xf numFmtId="0" fontId="6" fillId="3" borderId="42" xfId="0" applyFont="1" applyFill="1" applyBorder="1"/>
    <xf numFmtId="0" fontId="0" fillId="0" borderId="33" xfId="0" applyBorder="1"/>
    <xf numFmtId="0" fontId="7" fillId="6" borderId="14" xfId="0" applyFont="1" applyFill="1" applyBorder="1"/>
    <xf numFmtId="0" fontId="0" fillId="0" borderId="0" xfId="0" applyAlignment="1">
      <alignment wrapText="1"/>
    </xf>
    <xf numFmtId="0" fontId="3" fillId="21" borderId="0" xfId="0" applyFont="1" applyFill="1"/>
    <xf numFmtId="0" fontId="0" fillId="21" borderId="0" xfId="0" applyFill="1" applyAlignment="1">
      <alignment wrapText="1"/>
    </xf>
    <xf numFmtId="0" fontId="43" fillId="0" borderId="0" xfId="0" applyFont="1"/>
    <xf numFmtId="0" fontId="55" fillId="0" borderId="0" xfId="0" applyFont="1"/>
    <xf numFmtId="0" fontId="55" fillId="22" borderId="0" xfId="0" applyFont="1" applyFill="1"/>
    <xf numFmtId="0" fontId="56" fillId="3" borderId="0" xfId="0" applyFont="1" applyFill="1"/>
    <xf numFmtId="0" fontId="55" fillId="35" borderId="0" xfId="0" applyFont="1" applyFill="1"/>
    <xf numFmtId="0" fontId="35" fillId="0" borderId="0" xfId="0" applyFont="1"/>
    <xf numFmtId="0" fontId="6" fillId="36" borderId="0" xfId="0" applyFont="1" applyFill="1"/>
    <xf numFmtId="0" fontId="58" fillId="0" borderId="0" xfId="0" applyFont="1"/>
    <xf numFmtId="0" fontId="10" fillId="0" borderId="35" xfId="0" applyFont="1" applyBorder="1"/>
    <xf numFmtId="0" fontId="41" fillId="0" borderId="35" xfId="0" applyFont="1" applyBorder="1"/>
    <xf numFmtId="0" fontId="57" fillId="0" borderId="35" xfId="0" applyFont="1" applyBorder="1"/>
    <xf numFmtId="0" fontId="58" fillId="0" borderId="35" xfId="0" applyFont="1" applyBorder="1"/>
    <xf numFmtId="0" fontId="10" fillId="0" borderId="31" xfId="0" applyFont="1" applyBorder="1"/>
    <xf numFmtId="0" fontId="10" fillId="0" borderId="16" xfId="0" applyFont="1" applyBorder="1"/>
    <xf numFmtId="0" fontId="41" fillId="0" borderId="16" xfId="0" applyFont="1" applyBorder="1"/>
    <xf numFmtId="0" fontId="57" fillId="0" borderId="16" xfId="0" applyFont="1" applyBorder="1"/>
    <xf numFmtId="0" fontId="58" fillId="0" borderId="16" xfId="0" applyFont="1" applyBorder="1"/>
    <xf numFmtId="0" fontId="10" fillId="0" borderId="42" xfId="0" applyFont="1" applyBorder="1"/>
    <xf numFmtId="0" fontId="3" fillId="21" borderId="16" xfId="0" applyFont="1" applyFill="1" applyBorder="1"/>
    <xf numFmtId="0" fontId="6" fillId="3" borderId="35" xfId="0" applyFont="1" applyFill="1" applyBorder="1"/>
    <xf numFmtId="0" fontId="59" fillId="0" borderId="0" xfId="0" applyFont="1"/>
    <xf numFmtId="0" fontId="39" fillId="0" borderId="0" xfId="0" applyFont="1"/>
    <xf numFmtId="0" fontId="60" fillId="0" borderId="35" xfId="0" applyFont="1" applyBorder="1"/>
    <xf numFmtId="0" fontId="39" fillId="0" borderId="35" xfId="0" applyFont="1" applyBorder="1"/>
    <xf numFmtId="0" fontId="60" fillId="0" borderId="16" xfId="0" applyFont="1" applyBorder="1"/>
    <xf numFmtId="0" fontId="39" fillId="0" borderId="16" xfId="0" applyFont="1" applyBorder="1"/>
    <xf numFmtId="0" fontId="61" fillId="0" borderId="0" xfId="0" applyFont="1"/>
    <xf numFmtId="0" fontId="16" fillId="0" borderId="0" xfId="0" applyFont="1"/>
    <xf numFmtId="0" fontId="39" fillId="0" borderId="40" xfId="0" applyFont="1" applyBorder="1"/>
    <xf numFmtId="0" fontId="61" fillId="0" borderId="40" xfId="0" applyFont="1" applyBorder="1"/>
    <xf numFmtId="0" fontId="58" fillId="21" borderId="40" xfId="0" applyFont="1" applyFill="1" applyBorder="1"/>
    <xf numFmtId="0" fontId="16" fillId="0" borderId="40" xfId="0" applyFont="1" applyBorder="1"/>
    <xf numFmtId="0" fontId="3" fillId="0" borderId="32" xfId="0" applyFont="1" applyBorder="1"/>
    <xf numFmtId="0" fontId="3" fillId="0" borderId="35" xfId="0" applyFont="1" applyBorder="1"/>
    <xf numFmtId="0" fontId="3" fillId="0" borderId="31" xfId="0" applyFont="1" applyBorder="1"/>
    <xf numFmtId="0" fontId="0" fillId="21" borderId="0" xfId="0" applyFill="1"/>
    <xf numFmtId="0" fontId="0" fillId="21" borderId="35" xfId="0" applyFill="1" applyBorder="1"/>
    <xf numFmtId="0" fontId="0" fillId="21" borderId="16" xfId="0" applyFill="1" applyBorder="1"/>
    <xf numFmtId="9" fontId="0" fillId="0" borderId="16" xfId="0" applyNumberFormat="1" applyBorder="1"/>
    <xf numFmtId="0" fontId="3" fillId="0" borderId="41" xfId="0" applyFont="1" applyBorder="1"/>
    <xf numFmtId="0" fontId="3" fillId="0" borderId="39" xfId="0" applyFont="1" applyBorder="1"/>
    <xf numFmtId="0" fontId="3" fillId="0" borderId="16" xfId="0" applyFont="1" applyBorder="1"/>
    <xf numFmtId="9" fontId="3" fillId="0" borderId="16" xfId="0" applyNumberFormat="1" applyFont="1" applyBorder="1"/>
    <xf numFmtId="0" fontId="6" fillId="15" borderId="0" xfId="0" applyFont="1" applyFill="1"/>
    <xf numFmtId="0" fontId="6" fillId="9" borderId="0" xfId="0" applyFont="1" applyFill="1"/>
    <xf numFmtId="0" fontId="45" fillId="0" borderId="0" xfId="1"/>
    <xf numFmtId="0" fontId="62" fillId="0" borderId="0" xfId="0" applyFont="1"/>
    <xf numFmtId="0" fontId="7" fillId="0" borderId="0" xfId="0" applyFont="1"/>
    <xf numFmtId="0" fontId="7" fillId="0" borderId="35" xfId="0" applyFont="1" applyBorder="1"/>
    <xf numFmtId="0" fontId="62" fillId="0" borderId="16" xfId="0" applyFont="1" applyBorder="1"/>
    <xf numFmtId="0" fontId="0" fillId="21" borderId="40" xfId="0" applyFill="1" applyBorder="1"/>
    <xf numFmtId="0" fontId="7" fillId="0" borderId="16" xfId="0" applyFont="1" applyBorder="1"/>
    <xf numFmtId="0" fontId="0" fillId="21" borderId="43" xfId="0" applyFill="1" applyBorder="1"/>
    <xf numFmtId="0" fontId="62" fillId="0" borderId="32" xfId="0" applyFont="1" applyBorder="1"/>
    <xf numFmtId="9" fontId="43" fillId="0" borderId="31" xfId="0" applyNumberFormat="1" applyFont="1" applyBorder="1"/>
    <xf numFmtId="0" fontId="43" fillId="0" borderId="16" xfId="0" applyFont="1" applyBorder="1"/>
    <xf numFmtId="0" fontId="63" fillId="0" borderId="16" xfId="0" applyFont="1" applyBorder="1"/>
    <xf numFmtId="0" fontId="1" fillId="0" borderId="35" xfId="0" applyFont="1" applyBorder="1"/>
    <xf numFmtId="0" fontId="1" fillId="0" borderId="31" xfId="0" applyFont="1" applyBorder="1"/>
    <xf numFmtId="0" fontId="41" fillId="0" borderId="31" xfId="0" applyFont="1" applyBorder="1"/>
    <xf numFmtId="0" fontId="58" fillId="0" borderId="40" xfId="0" applyFont="1" applyBorder="1"/>
    <xf numFmtId="0" fontId="41" fillId="0" borderId="40" xfId="0" applyFont="1" applyBorder="1"/>
    <xf numFmtId="0" fontId="41" fillId="0" borderId="43" xfId="0" applyFont="1" applyBorder="1"/>
    <xf numFmtId="14" fontId="0" fillId="0" borderId="40" xfId="0" applyNumberFormat="1" applyBorder="1"/>
    <xf numFmtId="0" fontId="6" fillId="20" borderId="0" xfId="0" applyFont="1" applyFill="1"/>
    <xf numFmtId="0" fontId="64" fillId="3" borderId="0" xfId="0" applyFont="1" applyFill="1"/>
    <xf numFmtId="22" fontId="0" fillId="0" borderId="16" xfId="0" applyNumberFormat="1" applyBorder="1"/>
    <xf numFmtId="0" fontId="6" fillId="3" borderId="41" xfId="0" applyFont="1" applyFill="1" applyBorder="1"/>
    <xf numFmtId="0" fontId="0" fillId="0" borderId="35" xfId="0" quotePrefix="1" applyBorder="1"/>
    <xf numFmtId="0" fontId="0" fillId="0" borderId="34" xfId="0" applyBorder="1"/>
    <xf numFmtId="0" fontId="58" fillId="0" borderId="30" xfId="0" applyFont="1" applyBorder="1"/>
    <xf numFmtId="0" fontId="6" fillId="14" borderId="37" xfId="0" applyFont="1" applyFill="1" applyBorder="1"/>
    <xf numFmtId="0" fontId="6" fillId="14" borderId="38" xfId="0" applyFont="1" applyFill="1" applyBorder="1"/>
    <xf numFmtId="0" fontId="6" fillId="14" borderId="40" xfId="0" applyFont="1" applyFill="1" applyBorder="1"/>
    <xf numFmtId="0" fontId="57" fillId="0" borderId="40" xfId="0" applyFont="1" applyBorder="1"/>
    <xf numFmtId="0" fontId="60" fillId="0" borderId="40" xfId="0" applyFont="1" applyBorder="1"/>
    <xf numFmtId="0" fontId="57" fillId="0" borderId="43" xfId="0" applyFont="1" applyBorder="1"/>
    <xf numFmtId="0" fontId="65" fillId="0" borderId="0" xfId="0" applyFont="1" applyAlignment="1">
      <alignment wrapText="1"/>
    </xf>
    <xf numFmtId="0" fontId="66" fillId="0" borderId="0" xfId="0" applyFont="1"/>
    <xf numFmtId="0" fontId="6" fillId="2" borderId="0" xfId="0" applyFont="1" applyFill="1"/>
    <xf numFmtId="0" fontId="67" fillId="2" borderId="0" xfId="0" applyFont="1" applyFill="1"/>
    <xf numFmtId="0" fontId="68" fillId="0" borderId="0" xfId="0" applyFont="1"/>
    <xf numFmtId="0" fontId="70" fillId="0" borderId="0" xfId="0" applyFont="1"/>
    <xf numFmtId="0" fontId="71" fillId="0" borderId="0" xfId="0" applyFont="1"/>
    <xf numFmtId="0" fontId="67" fillId="14" borderId="39" xfId="0" applyFont="1" applyFill="1" applyBorder="1"/>
    <xf numFmtId="0" fontId="67" fillId="14" borderId="16" xfId="0" applyFont="1" applyFill="1" applyBorder="1"/>
    <xf numFmtId="0" fontId="68" fillId="0" borderId="16" xfId="0" applyFont="1" applyBorder="1"/>
    <xf numFmtId="0" fontId="68" fillId="0" borderId="40" xfId="0" applyFont="1" applyBorder="1"/>
    <xf numFmtId="0" fontId="68" fillId="0" borderId="39" xfId="0" applyFont="1" applyBorder="1"/>
    <xf numFmtId="0" fontId="68" fillId="21" borderId="40" xfId="0" applyFont="1" applyFill="1" applyBorder="1"/>
    <xf numFmtId="0" fontId="67" fillId="36" borderId="39" xfId="0" applyFont="1" applyFill="1" applyBorder="1"/>
    <xf numFmtId="0" fontId="67" fillId="36" borderId="16" xfId="0" applyFont="1" applyFill="1" applyBorder="1"/>
    <xf numFmtId="0" fontId="67" fillId="15" borderId="39" xfId="0" applyFont="1" applyFill="1" applyBorder="1"/>
    <xf numFmtId="0" fontId="67" fillId="15" borderId="16" xfId="0" applyFont="1" applyFill="1" applyBorder="1"/>
    <xf numFmtId="0" fontId="67" fillId="3" borderId="39" xfId="0" applyFont="1" applyFill="1" applyBorder="1"/>
    <xf numFmtId="0" fontId="67" fillId="3" borderId="16" xfId="0" applyFont="1" applyFill="1" applyBorder="1"/>
    <xf numFmtId="0" fontId="67" fillId="3" borderId="40" xfId="0" applyFont="1" applyFill="1" applyBorder="1"/>
    <xf numFmtId="0" fontId="0" fillId="0" borderId="40" xfId="0" quotePrefix="1" applyBorder="1"/>
    <xf numFmtId="0" fontId="62" fillId="16" borderId="40" xfId="0" applyFont="1" applyFill="1" applyBorder="1"/>
    <xf numFmtId="0" fontId="1" fillId="0" borderId="40" xfId="0" applyFont="1" applyBorder="1"/>
    <xf numFmtId="0" fontId="10" fillId="0" borderId="43" xfId="0" applyFont="1" applyBorder="1"/>
    <xf numFmtId="0" fontId="41" fillId="0" borderId="32" xfId="0" applyFont="1" applyBorder="1"/>
    <xf numFmtId="0" fontId="43" fillId="0" borderId="31" xfId="0" applyFont="1" applyBorder="1"/>
    <xf numFmtId="0" fontId="61" fillId="0" borderId="31" xfId="0" applyFont="1" applyBorder="1"/>
    <xf numFmtId="0" fontId="17" fillId="0" borderId="0" xfId="0" quotePrefix="1" applyFont="1"/>
    <xf numFmtId="0" fontId="60" fillId="0" borderId="32" xfId="0" applyFont="1" applyBorder="1"/>
    <xf numFmtId="0" fontId="60" fillId="0" borderId="31" xfId="0" applyFont="1" applyBorder="1"/>
    <xf numFmtId="0" fontId="0" fillId="0" borderId="36" xfId="0" applyBorder="1"/>
    <xf numFmtId="0" fontId="0" fillId="0" borderId="37" xfId="0" applyBorder="1"/>
    <xf numFmtId="0" fontId="10" fillId="0" borderId="40" xfId="0" applyFont="1" applyBorder="1"/>
    <xf numFmtId="0" fontId="43" fillId="0" borderId="40" xfId="0" applyFont="1" applyBorder="1"/>
    <xf numFmtId="0" fontId="60" fillId="0" borderId="42" xfId="0" applyFont="1" applyBorder="1"/>
    <xf numFmtId="16" fontId="0" fillId="0" borderId="35" xfId="0" applyNumberFormat="1" applyBorder="1"/>
    <xf numFmtId="0" fontId="65" fillId="0" borderId="35" xfId="0" applyFont="1" applyBorder="1"/>
    <xf numFmtId="0" fontId="3" fillId="0" borderId="39" xfId="0" applyFont="1" applyBorder="1" applyAlignment="1">
      <alignment vertical="top" wrapText="1"/>
    </xf>
    <xf numFmtId="0" fontId="0" fillId="21" borderId="16" xfId="0" applyFill="1" applyBorder="1" applyAlignment="1">
      <alignment vertical="top" wrapText="1"/>
    </xf>
    <xf numFmtId="0" fontId="0" fillId="21" borderId="40" xfId="0" applyFill="1" applyBorder="1" applyAlignment="1">
      <alignment vertical="top"/>
    </xf>
    <xf numFmtId="0" fontId="0" fillId="29" borderId="16" xfId="0" applyFill="1" applyBorder="1" applyAlignment="1">
      <alignment vertical="top" wrapText="1"/>
    </xf>
    <xf numFmtId="0" fontId="3" fillId="0" borderId="36" xfId="0" applyFont="1" applyBorder="1"/>
    <xf numFmtId="0" fontId="0" fillId="0" borderId="40" xfId="0" applyBorder="1" applyAlignment="1">
      <alignment wrapText="1"/>
    </xf>
    <xf numFmtId="0" fontId="0" fillId="0" borderId="43" xfId="0" applyBorder="1" applyAlignment="1">
      <alignment wrapText="1"/>
    </xf>
    <xf numFmtId="0" fontId="6" fillId="3" borderId="36" xfId="0" applyFont="1" applyFill="1" applyBorder="1" applyAlignment="1">
      <alignment vertical="top"/>
    </xf>
    <xf numFmtId="0" fontId="6" fillId="3" borderId="37" xfId="0" applyFont="1" applyFill="1" applyBorder="1" applyAlignment="1">
      <alignment vertical="top"/>
    </xf>
    <xf numFmtId="0" fontId="6" fillId="3" borderId="38" xfId="0" applyFont="1" applyFill="1" applyBorder="1" applyAlignment="1">
      <alignment vertical="top"/>
    </xf>
    <xf numFmtId="0" fontId="3" fillId="0" borderId="39" xfId="0" applyFont="1" applyBorder="1" applyAlignment="1">
      <alignment vertical="top"/>
    </xf>
    <xf numFmtId="0" fontId="0" fillId="0" borderId="16" xfId="0" applyBorder="1" applyAlignment="1">
      <alignment vertical="top"/>
    </xf>
    <xf numFmtId="0" fontId="0" fillId="0" borderId="40" xfId="0" applyBorder="1" applyAlignment="1">
      <alignment vertical="top" wrapText="1"/>
    </xf>
    <xf numFmtId="0" fontId="3" fillId="21" borderId="39" xfId="0" applyFont="1" applyFill="1" applyBorder="1" applyAlignment="1">
      <alignment vertical="top"/>
    </xf>
    <xf numFmtId="0" fontId="0" fillId="21" borderId="16" xfId="0" applyFill="1" applyBorder="1" applyAlignment="1">
      <alignment vertical="top"/>
    </xf>
    <xf numFmtId="0" fontId="0" fillId="21" borderId="40" xfId="0" applyFill="1" applyBorder="1" applyAlignment="1">
      <alignment vertical="top" wrapText="1"/>
    </xf>
    <xf numFmtId="0" fontId="0" fillId="0" borderId="39" xfId="0" applyBorder="1" applyAlignment="1">
      <alignment vertical="top"/>
    </xf>
    <xf numFmtId="0" fontId="3" fillId="0" borderId="16" xfId="0" applyFont="1" applyBorder="1" applyAlignment="1">
      <alignment vertical="top"/>
    </xf>
    <xf numFmtId="0" fontId="41" fillId="0" borderId="16" xfId="0" applyFont="1" applyBorder="1" applyAlignment="1">
      <alignment vertical="top"/>
    </xf>
    <xf numFmtId="0" fontId="10" fillId="0" borderId="16" xfId="0" applyFont="1" applyBorder="1" applyAlignment="1">
      <alignment vertical="top" wrapText="1"/>
    </xf>
    <xf numFmtId="0" fontId="58" fillId="0" borderId="16" xfId="0" applyFont="1" applyBorder="1" applyAlignment="1">
      <alignment vertical="top"/>
    </xf>
    <xf numFmtId="0" fontId="60" fillId="0" borderId="16" xfId="0" applyFont="1" applyBorder="1" applyAlignment="1">
      <alignment vertical="top" wrapText="1"/>
    </xf>
    <xf numFmtId="0" fontId="43" fillId="0" borderId="16" xfId="0" applyFont="1" applyBorder="1" applyAlignment="1">
      <alignment vertical="top"/>
    </xf>
    <xf numFmtId="0" fontId="0" fillId="0" borderId="16" xfId="0" applyBorder="1" applyAlignment="1">
      <alignment vertical="top" wrapText="1"/>
    </xf>
    <xf numFmtId="0" fontId="10" fillId="0" borderId="40" xfId="0" applyFont="1" applyBorder="1" applyAlignment="1">
      <alignment vertical="top" wrapText="1"/>
    </xf>
    <xf numFmtId="0" fontId="42" fillId="0" borderId="40" xfId="0" applyFont="1" applyBorder="1" applyAlignment="1">
      <alignment vertical="top" wrapText="1"/>
    </xf>
    <xf numFmtId="0" fontId="0" fillId="0" borderId="16" xfId="0" quotePrefix="1" applyBorder="1" applyAlignment="1">
      <alignment vertical="top" wrapText="1"/>
    </xf>
    <xf numFmtId="0" fontId="3" fillId="0" borderId="16" xfId="0" applyFont="1" applyBorder="1" applyAlignment="1">
      <alignment vertical="top" wrapText="1"/>
    </xf>
    <xf numFmtId="0" fontId="39" fillId="0" borderId="40" xfId="0" applyFont="1" applyBorder="1" applyAlignment="1">
      <alignment vertical="top" wrapText="1"/>
    </xf>
    <xf numFmtId="0" fontId="3" fillId="0" borderId="37" xfId="0" applyFont="1" applyBorder="1"/>
    <xf numFmtId="0" fontId="3" fillId="0" borderId="38" xfId="0" applyFont="1" applyBorder="1"/>
    <xf numFmtId="0" fontId="3" fillId="0" borderId="36" xfId="0" applyFont="1" applyBorder="1" applyAlignment="1">
      <alignment vertical="top"/>
    </xf>
    <xf numFmtId="0" fontId="3" fillId="0" borderId="37" xfId="0" applyFont="1" applyBorder="1" applyAlignment="1">
      <alignment vertical="top"/>
    </xf>
    <xf numFmtId="0" fontId="3" fillId="0" borderId="38" xfId="0" applyFont="1" applyBorder="1" applyAlignment="1">
      <alignment vertical="top"/>
    </xf>
    <xf numFmtId="0" fontId="42" fillId="0" borderId="16" xfId="0" applyFont="1" applyBorder="1" applyAlignment="1">
      <alignment vertical="top"/>
    </xf>
    <xf numFmtId="0" fontId="0" fillId="0" borderId="41" xfId="0" applyBorder="1" applyAlignment="1">
      <alignment vertical="top"/>
    </xf>
    <xf numFmtId="0" fontId="41" fillId="0" borderId="42" xfId="0" applyFont="1" applyBorder="1" applyAlignment="1">
      <alignment vertical="top"/>
    </xf>
    <xf numFmtId="0" fontId="0" fillId="0" borderId="43" xfId="0" applyBorder="1" applyAlignment="1">
      <alignment vertical="top" wrapText="1"/>
    </xf>
    <xf numFmtId="0" fontId="0" fillId="0" borderId="42" xfId="0" applyBorder="1" applyAlignment="1">
      <alignment vertical="top"/>
    </xf>
    <xf numFmtId="0" fontId="0" fillId="0" borderId="38" xfId="0" applyBorder="1" applyAlignment="1">
      <alignment wrapText="1"/>
    </xf>
    <xf numFmtId="0" fontId="0" fillId="0" borderId="38" xfId="0" applyBorder="1" applyAlignment="1">
      <alignment vertical="top" wrapText="1"/>
    </xf>
    <xf numFmtId="0" fontId="3" fillId="0" borderId="41" xfId="0" applyFont="1" applyBorder="1" applyAlignment="1">
      <alignment vertical="top"/>
    </xf>
    <xf numFmtId="0" fontId="0" fillId="0" borderId="40" xfId="0" applyBorder="1" applyAlignment="1">
      <alignment vertical="top"/>
    </xf>
    <xf numFmtId="16" fontId="0" fillId="0" borderId="40" xfId="0" applyNumberFormat="1" applyBorder="1" applyAlignment="1">
      <alignment vertical="top"/>
    </xf>
    <xf numFmtId="0" fontId="0" fillId="0" borderId="42" xfId="0" applyBorder="1" applyAlignment="1">
      <alignment vertical="top" wrapText="1"/>
    </xf>
    <xf numFmtId="16" fontId="0" fillId="0" borderId="43" xfId="0" applyNumberFormat="1" applyBorder="1" applyAlignment="1">
      <alignment vertical="top"/>
    </xf>
    <xf numFmtId="0" fontId="57" fillId="0" borderId="32" xfId="0" applyFont="1" applyBorder="1"/>
    <xf numFmtId="0" fontId="58" fillId="0" borderId="40" xfId="0" applyFont="1" applyBorder="1" applyAlignment="1">
      <alignment wrapText="1"/>
    </xf>
    <xf numFmtId="0" fontId="0" fillId="0" borderId="32" xfId="0" applyBorder="1" applyAlignment="1">
      <alignment wrapText="1"/>
    </xf>
    <xf numFmtId="0" fontId="0" fillId="0" borderId="35" xfId="0" applyBorder="1" applyAlignment="1">
      <alignment wrapText="1"/>
    </xf>
    <xf numFmtId="0" fontId="0" fillId="0" borderId="31" xfId="0" applyBorder="1" applyAlignment="1">
      <alignment wrapText="1"/>
    </xf>
    <xf numFmtId="0" fontId="6" fillId="38" borderId="0" xfId="0" applyFont="1" applyFill="1"/>
    <xf numFmtId="0" fontId="0" fillId="0" borderId="36" xfId="0" applyBorder="1" applyAlignment="1">
      <alignment vertical="top"/>
    </xf>
    <xf numFmtId="0" fontId="0" fillId="0" borderId="37" xfId="0" applyBorder="1" applyAlignment="1">
      <alignment vertical="top"/>
    </xf>
    <xf numFmtId="0" fontId="6" fillId="3" borderId="0" xfId="0" applyFont="1" applyFill="1" applyAlignment="1">
      <alignment vertical="top"/>
    </xf>
    <xf numFmtId="0" fontId="10" fillId="0" borderId="42" xfId="0" applyFont="1" applyBorder="1" applyAlignment="1">
      <alignment vertical="top"/>
    </xf>
    <xf numFmtId="0" fontId="5" fillId="2" borderId="0" xfId="0" applyFont="1" applyFill="1" applyAlignment="1">
      <alignment vertical="top" wrapText="1"/>
    </xf>
    <xf numFmtId="0" fontId="77" fillId="0" borderId="0" xfId="0" applyFont="1" applyAlignment="1">
      <alignment vertical="top" wrapText="1"/>
    </xf>
    <xf numFmtId="0" fontId="6" fillId="31" borderId="42" xfId="0" applyFont="1" applyFill="1" applyBorder="1" applyAlignment="1">
      <alignment vertical="top" wrapText="1"/>
    </xf>
    <xf numFmtId="0" fontId="0" fillId="0" borderId="37" xfId="0" applyBorder="1" applyAlignment="1">
      <alignment vertical="top" wrapText="1"/>
    </xf>
    <xf numFmtId="0" fontId="6" fillId="30" borderId="42" xfId="0" applyFont="1" applyFill="1" applyBorder="1" applyAlignment="1">
      <alignment vertical="top" wrapText="1"/>
    </xf>
    <xf numFmtId="0" fontId="0" fillId="0" borderId="30" xfId="0" applyBorder="1" applyAlignment="1">
      <alignment vertical="top" wrapText="1"/>
    </xf>
    <xf numFmtId="0" fontId="10" fillId="0" borderId="30" xfId="0" applyFont="1" applyBorder="1" applyAlignment="1">
      <alignment vertical="top" wrapText="1"/>
    </xf>
    <xf numFmtId="0" fontId="6" fillId="39" borderId="42" xfId="0" applyFont="1" applyFill="1" applyBorder="1" applyAlignment="1">
      <alignment vertical="top" wrapText="1"/>
    </xf>
    <xf numFmtId="0" fontId="6" fillId="15" borderId="42" xfId="0" applyFont="1" applyFill="1" applyBorder="1" applyAlignment="1">
      <alignment vertical="top" wrapText="1"/>
    </xf>
    <xf numFmtId="0" fontId="55" fillId="22" borderId="30" xfId="0" applyFont="1" applyFill="1" applyBorder="1" applyAlignment="1">
      <alignment vertical="top"/>
    </xf>
    <xf numFmtId="0" fontId="55" fillId="21" borderId="37" xfId="0" applyFont="1" applyFill="1" applyBorder="1" applyAlignment="1">
      <alignment vertical="top"/>
    </xf>
    <xf numFmtId="0" fontId="56" fillId="40" borderId="42" xfId="0" applyFont="1" applyFill="1" applyBorder="1" applyAlignment="1">
      <alignment vertical="top" wrapText="1"/>
    </xf>
    <xf numFmtId="0" fontId="39" fillId="0" borderId="37" xfId="0" applyFont="1" applyBorder="1" applyAlignment="1">
      <alignment vertical="top" wrapText="1"/>
    </xf>
    <xf numFmtId="0" fontId="0" fillId="0" borderId="0" xfId="0" applyAlignment="1">
      <alignment wrapText="1"/>
    </xf>
    <xf numFmtId="0" fontId="0" fillId="0" borderId="0" xfId="0"/>
    <xf numFmtId="0" fontId="42" fillId="0" borderId="0" xfId="0" applyFont="1" applyAlignment="1">
      <alignment wrapText="1"/>
    </xf>
    <xf numFmtId="0" fontId="42" fillId="0" borderId="0" xfId="0" applyFont="1"/>
    <xf numFmtId="0" fontId="77" fillId="0" borderId="0" xfId="0" applyFont="1" applyAlignment="1">
      <alignment wrapText="1"/>
    </xf>
    <xf numFmtId="0" fontId="77" fillId="0" borderId="0" xfId="0" applyFont="1"/>
    <xf numFmtId="0" fontId="10" fillId="0" borderId="0" xfId="0" applyFont="1" applyAlignment="1">
      <alignment wrapText="1"/>
    </xf>
    <xf numFmtId="0" fontId="10" fillId="0" borderId="0" xfId="0" applyFont="1"/>
    <xf numFmtId="0" fontId="76" fillId="0" borderId="0" xfId="0" applyFont="1" applyAlignment="1">
      <alignment wrapText="1"/>
    </xf>
    <xf numFmtId="0" fontId="76" fillId="0" borderId="0" xfId="0" applyFont="1"/>
    <xf numFmtId="0" fontId="0" fillId="29" borderId="0" xfId="0" applyFill="1" applyAlignment="1">
      <alignment wrapText="1"/>
    </xf>
    <xf numFmtId="0" fontId="0" fillId="29" borderId="0" xfId="0" applyFill="1"/>
    <xf numFmtId="0" fontId="3" fillId="21" borderId="0" xfId="0" applyFont="1" applyFill="1" applyAlignment="1">
      <alignment wrapText="1"/>
    </xf>
    <xf numFmtId="0" fontId="3" fillId="21" borderId="0" xfId="0" applyFont="1" applyFill="1"/>
    <xf numFmtId="0" fontId="73" fillId="0" borderId="0" xfId="0" applyFont="1" applyAlignment="1">
      <alignment wrapText="1"/>
    </xf>
    <xf numFmtId="0" fontId="73" fillId="0" borderId="0" xfId="0" applyFont="1"/>
    <xf numFmtId="0" fontId="74" fillId="0" borderId="0" xfId="0" applyFont="1"/>
    <xf numFmtId="0" fontId="17" fillId="0" borderId="0" xfId="0" applyFont="1"/>
    <xf numFmtId="0" fontId="75" fillId="0" borderId="0" xfId="0" applyFont="1"/>
    <xf numFmtId="0" fontId="17" fillId="0" borderId="0" xfId="0" applyFont="1" applyAlignment="1">
      <alignment wrapText="1"/>
    </xf>
    <xf numFmtId="0" fontId="0" fillId="21" borderId="0" xfId="0" applyFill="1" applyAlignment="1">
      <alignment wrapText="1"/>
    </xf>
    <xf numFmtId="0" fontId="6" fillId="36" borderId="0" xfId="0" applyFont="1" applyFill="1" applyAlignment="1">
      <alignment wrapText="1"/>
    </xf>
    <xf numFmtId="0" fontId="55" fillId="22" borderId="0" xfId="0" applyFont="1" applyFill="1"/>
    <xf numFmtId="0" fontId="35" fillId="0" borderId="0" xfId="0" applyFont="1"/>
    <xf numFmtId="0" fontId="53" fillId="0" borderId="0" xfId="0" applyFont="1"/>
    <xf numFmtId="0" fontId="6" fillId="36" borderId="0" xfId="0" applyFont="1" applyFill="1"/>
    <xf numFmtId="0" fontId="0" fillId="0" borderId="33" xfId="0" applyBorder="1" applyAlignment="1">
      <alignment wrapText="1"/>
    </xf>
    <xf numFmtId="0" fontId="5" fillId="2" borderId="0" xfId="0" applyFont="1" applyFill="1"/>
    <xf numFmtId="0" fontId="6" fillId="9" borderId="0" xfId="0" applyFont="1" applyFill="1" applyAlignment="1">
      <alignment wrapText="1"/>
    </xf>
    <xf numFmtId="0" fontId="6" fillId="9" borderId="0" xfId="0" applyFont="1" applyFill="1"/>
    <xf numFmtId="0" fontId="55" fillId="35" borderId="0" xfId="0" applyFont="1" applyFill="1"/>
    <xf numFmtId="0" fontId="69" fillId="0" borderId="32" xfId="0" applyFont="1" applyBorder="1"/>
    <xf numFmtId="0" fontId="6" fillId="4" borderId="0" xfId="0" applyFont="1" applyFill="1"/>
    <xf numFmtId="0" fontId="0" fillId="21" borderId="0" xfId="0" applyFill="1"/>
    <xf numFmtId="0" fontId="3" fillId="0" borderId="0" xfId="0" applyFont="1" applyAlignment="1">
      <alignment wrapText="1"/>
    </xf>
    <xf numFmtId="0" fontId="3" fillId="0" borderId="0" xfId="0" applyFont="1"/>
    <xf numFmtId="0" fontId="72" fillId="0" borderId="0" xfId="0" quotePrefix="1" applyFont="1"/>
    <xf numFmtId="0" fontId="43" fillId="21" borderId="0" xfId="0" applyFont="1" applyFill="1"/>
    <xf numFmtId="0" fontId="6" fillId="37" borderId="0" xfId="0" applyFont="1" applyFill="1"/>
    <xf numFmtId="0" fontId="5" fillId="2" borderId="0" xfId="0" applyFont="1" applyFill="1" applyAlignment="1">
      <alignment horizontal="center" vertical="center"/>
    </xf>
    <xf numFmtId="0" fontId="12" fillId="0" borderId="0" xfId="0" applyFont="1"/>
    <xf numFmtId="0" fontId="5" fillId="2" borderId="0" xfId="0" applyFont="1" applyFill="1" applyAlignment="1">
      <alignment horizontal="left"/>
    </xf>
    <xf numFmtId="0" fontId="15" fillId="0" borderId="0" xfId="0" applyFont="1"/>
    <xf numFmtId="0" fontId="17" fillId="19" borderId="11" xfId="0" applyFont="1" applyFill="1" applyBorder="1"/>
    <xf numFmtId="0" fontId="6" fillId="3" borderId="0" xfId="0" applyFont="1" applyFill="1"/>
    <xf numFmtId="0" fontId="6" fillId="3" borderId="24" xfId="0" applyFont="1" applyFill="1" applyBorder="1"/>
    <xf numFmtId="0" fontId="0" fillId="0" borderId="0" xfId="0" applyAlignment="1">
      <alignment vertical="top" wrapText="1"/>
    </xf>
    <xf numFmtId="0" fontId="17" fillId="0" borderId="0" xfId="0" applyFont="1" applyAlignment="1">
      <alignment vertical="top"/>
    </xf>
    <xf numFmtId="0" fontId="22" fillId="2" borderId="0" xfId="0" applyFont="1" applyFill="1"/>
  </cellXfs>
  <cellStyles count="2">
    <cellStyle name="Hyperlink" xfId="1" builtinId="8"/>
    <cellStyle name="Normal" xfId="0" builtinId="0"/>
  </cellStyles>
  <dxfs count="22">
    <dxf>
      <font>
        <color rgb="FF808080"/>
      </font>
      <fill>
        <patternFill patternType="solid">
          <fgColor indexed="64"/>
          <bgColor rgb="FFF2F2F2"/>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808080"/>
      </font>
      <fill>
        <patternFill patternType="solid">
          <fgColor indexed="64"/>
          <bgColor rgb="FFF2F2F2"/>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6500"/>
      </font>
      <fill>
        <patternFill patternType="solid">
          <fgColor indexed="64"/>
          <bgColor rgb="FFFFEB9C"/>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90000"/>
      </font>
      <fill>
        <patternFill patternType="solid">
          <fgColor indexed="64"/>
          <bgColor rgb="FFF4CCCC"/>
        </patternFill>
      </fill>
    </dxf>
    <dxf>
      <font>
        <color rgb="FFBF8F00"/>
      </font>
      <fill>
        <patternFill patternType="solid">
          <fgColor indexed="64"/>
          <bgColor rgb="FFFFF2CC"/>
        </patternFill>
      </fill>
    </dxf>
    <dxf>
      <font>
        <color rgb="FF7F6000"/>
      </font>
      <fill>
        <patternFill patternType="solid">
          <fgColor indexed="64"/>
          <bgColor rgb="FFFFF2CC"/>
        </patternFill>
      </fill>
    </dxf>
    <dxf>
      <font>
        <color rgb="FF006100"/>
      </font>
      <fill>
        <patternFill patternType="solid">
          <fgColor indexed="64"/>
          <bgColor rgb="FFC6EFCE"/>
        </patternFill>
      </fill>
    </dxf>
  </dxfs>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b9f2630-a984-4287-b4ca-4ac128a20991}">
  <we:reference id="WA200009404" version="1.0.0.8" store="en-US" storeType="OMEX"/>
  <we:alternateReferences/>
  <we:properties>
    <we:property name="Microsoft.Office.CampaignId" value="&quot;none&quot;"/>
    <we:property name="claude.fileId" value="&quot;544e50c3-f27b-48f0-854e-4d3b84b193d9&quot;"/>
  </we:properties>
  <we:bindings/>
  <we:snapshot xmlns:r="http://schemas.openxmlformats.org/officeDocument/2006/relationships"/>
</we:webextension>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CFA0-82C2-E84F-AC3A-E67C279603BE}">
  <dimension ref="A1:H39"/>
  <sheetViews>
    <sheetView workbookViewId="0">
      <pane ySplit="3" topLeftCell="A4" activePane="bottomLeft" state="frozen"/>
      <selection pane="bottomLeft"/>
    </sheetView>
  </sheetViews>
  <sheetFormatPr baseColWidth="10" defaultRowHeight="16" x14ac:dyDescent="0.2"/>
  <cols>
    <col min="1" max="1" width="27.5" customWidth="1"/>
    <col min="2" max="2" width="53.33203125" customWidth="1"/>
    <col min="5" max="5" width="15" customWidth="1"/>
    <col min="6" max="7" width="20" customWidth="1"/>
    <col min="8" max="8" width="56.6640625" customWidth="1"/>
  </cols>
  <sheetData>
    <row r="1" spans="1:8" ht="21" x14ac:dyDescent="0.25">
      <c r="A1" s="133" t="s">
        <v>2068</v>
      </c>
    </row>
    <row r="2" spans="1:8" x14ac:dyDescent="0.2">
      <c r="A2" s="69" t="s">
        <v>2069</v>
      </c>
    </row>
    <row r="3" spans="1:8" x14ac:dyDescent="0.2">
      <c r="A3" s="19" t="str">
        <f>"📡 "&amp;'Global Data Map'!R2&amp;" data locations  |  "&amp;'Global Data Map'!R3&amp;" audited  |  Score "&amp;Scoreboard!B6&amp;"  |  NEXT: connect rsplowman@gmail.com + run a Method-A scan"</f>
        <v>📡 9 data locations  |  3 audited  |  Score 95  |  NEXT: connect rsplowman@gmail.com + run a Method-A scan</v>
      </c>
    </row>
    <row r="5" spans="1:8" x14ac:dyDescent="0.2">
      <c r="A5" s="70" t="s">
        <v>2070</v>
      </c>
      <c r="B5" s="70" t="s">
        <v>1315</v>
      </c>
      <c r="E5" s="70" t="s">
        <v>2108</v>
      </c>
    </row>
    <row r="6" spans="1:8" x14ac:dyDescent="0.2">
      <c r="A6" s="231" t="s">
        <v>2071</v>
      </c>
      <c r="B6" t="s">
        <v>2072</v>
      </c>
      <c r="E6" s="2" t="s">
        <v>1678</v>
      </c>
      <c r="F6" s="2" t="s">
        <v>2109</v>
      </c>
      <c r="G6" s="2" t="s">
        <v>1203</v>
      </c>
      <c r="H6" s="2" t="s">
        <v>2110</v>
      </c>
    </row>
    <row r="7" spans="1:8" x14ac:dyDescent="0.2">
      <c r="A7" s="231" t="s">
        <v>1317</v>
      </c>
      <c r="B7" t="s">
        <v>2073</v>
      </c>
      <c r="E7" s="20">
        <v>46203</v>
      </c>
      <c r="F7" t="s">
        <v>2111</v>
      </c>
      <c r="G7" t="s">
        <v>2112</v>
      </c>
      <c r="H7" t="s">
        <v>2113</v>
      </c>
    </row>
    <row r="8" spans="1:8" x14ac:dyDescent="0.2">
      <c r="A8" s="231" t="s">
        <v>2074</v>
      </c>
      <c r="B8" t="s">
        <v>2075</v>
      </c>
      <c r="E8" s="20">
        <v>46203</v>
      </c>
      <c r="F8" t="s">
        <v>2114</v>
      </c>
      <c r="G8" t="s">
        <v>2115</v>
      </c>
      <c r="H8" t="s">
        <v>2116</v>
      </c>
    </row>
    <row r="9" spans="1:8" x14ac:dyDescent="0.2">
      <c r="E9" s="20">
        <v>46203</v>
      </c>
      <c r="F9" t="s">
        <v>2117</v>
      </c>
      <c r="G9" t="s">
        <v>2094</v>
      </c>
      <c r="H9" t="s">
        <v>2118</v>
      </c>
    </row>
    <row r="10" spans="1:8" x14ac:dyDescent="0.2">
      <c r="A10" s="2" t="s">
        <v>2076</v>
      </c>
      <c r="B10" s="2" t="s">
        <v>1315</v>
      </c>
      <c r="E10" s="20">
        <v>46203</v>
      </c>
      <c r="F10" t="s">
        <v>2119</v>
      </c>
      <c r="G10" t="s">
        <v>2094</v>
      </c>
      <c r="H10" t="s">
        <v>2120</v>
      </c>
    </row>
    <row r="11" spans="1:8" x14ac:dyDescent="0.2">
      <c r="A11" s="231" t="s">
        <v>1323</v>
      </c>
      <c r="B11" t="s">
        <v>2077</v>
      </c>
      <c r="E11" s="20">
        <v>46203</v>
      </c>
      <c r="F11" t="s">
        <v>2119</v>
      </c>
      <c r="G11" t="s">
        <v>2071</v>
      </c>
      <c r="H11" t="s">
        <v>2121</v>
      </c>
    </row>
    <row r="12" spans="1:8" x14ac:dyDescent="0.2">
      <c r="A12" s="231" t="s">
        <v>1326</v>
      </c>
      <c r="B12" t="s">
        <v>2078</v>
      </c>
      <c r="E12" s="20">
        <v>46203</v>
      </c>
      <c r="F12" t="s">
        <v>2122</v>
      </c>
      <c r="G12" t="s">
        <v>2102</v>
      </c>
      <c r="H12" t="s">
        <v>2123</v>
      </c>
    </row>
    <row r="13" spans="1:8" x14ac:dyDescent="0.2">
      <c r="A13" s="231" t="s">
        <v>1338</v>
      </c>
      <c r="B13" t="s">
        <v>2079</v>
      </c>
    </row>
    <row r="14" spans="1:8" x14ac:dyDescent="0.2">
      <c r="A14" s="231" t="s">
        <v>1347</v>
      </c>
      <c r="B14" t="s">
        <v>2080</v>
      </c>
    </row>
    <row r="15" spans="1:8" x14ac:dyDescent="0.2">
      <c r="A15" s="231" t="s">
        <v>2081</v>
      </c>
      <c r="B15" t="s">
        <v>2082</v>
      </c>
    </row>
    <row r="17" spans="1:2" x14ac:dyDescent="0.2">
      <c r="A17" s="2" t="s">
        <v>1840</v>
      </c>
      <c r="B17" s="2" t="s">
        <v>1315</v>
      </c>
    </row>
    <row r="18" spans="1:2" x14ac:dyDescent="0.2">
      <c r="A18" s="231" t="s">
        <v>1320</v>
      </c>
      <c r="B18" t="s">
        <v>2083</v>
      </c>
    </row>
    <row r="19" spans="1:2" x14ac:dyDescent="0.2">
      <c r="A19" s="231" t="s">
        <v>1329</v>
      </c>
      <c r="B19" t="s">
        <v>1330</v>
      </c>
    </row>
    <row r="20" spans="1:2" x14ac:dyDescent="0.2">
      <c r="A20" s="231" t="s">
        <v>2084</v>
      </c>
      <c r="B20" t="s">
        <v>2085</v>
      </c>
    </row>
    <row r="22" spans="1:2" x14ac:dyDescent="0.2">
      <c r="A22" s="192" t="s">
        <v>2086</v>
      </c>
      <c r="B22" s="192" t="s">
        <v>1315</v>
      </c>
    </row>
    <row r="23" spans="1:2" x14ac:dyDescent="0.2">
      <c r="A23" s="231" t="s">
        <v>1341</v>
      </c>
      <c r="B23" t="s">
        <v>2087</v>
      </c>
    </row>
    <row r="24" spans="1:2" x14ac:dyDescent="0.2">
      <c r="A24" s="231" t="s">
        <v>1344</v>
      </c>
      <c r="B24" t="s">
        <v>2088</v>
      </c>
    </row>
    <row r="25" spans="1:2" x14ac:dyDescent="0.2">
      <c r="A25" s="231" t="s">
        <v>1353</v>
      </c>
      <c r="B25" t="s">
        <v>2089</v>
      </c>
    </row>
    <row r="26" spans="1:2" x14ac:dyDescent="0.2">
      <c r="A26" s="231" t="s">
        <v>2090</v>
      </c>
      <c r="B26" t="s">
        <v>2091</v>
      </c>
    </row>
    <row r="28" spans="1:2" x14ac:dyDescent="0.2">
      <c r="A28" s="229" t="s">
        <v>2092</v>
      </c>
      <c r="B28" s="229" t="s">
        <v>1315</v>
      </c>
    </row>
    <row r="29" spans="1:2" x14ac:dyDescent="0.2">
      <c r="A29" s="231" t="s">
        <v>1335</v>
      </c>
      <c r="B29" t="s">
        <v>2093</v>
      </c>
    </row>
    <row r="30" spans="1:2" x14ac:dyDescent="0.2">
      <c r="A30" s="231" t="s">
        <v>2094</v>
      </c>
      <c r="B30" t="s">
        <v>2095</v>
      </c>
    </row>
    <row r="31" spans="1:2" x14ac:dyDescent="0.2">
      <c r="A31" s="231" t="s">
        <v>2096</v>
      </c>
      <c r="B31" t="s">
        <v>2097</v>
      </c>
    </row>
    <row r="32" spans="1:2" x14ac:dyDescent="0.2">
      <c r="A32" s="231" t="s">
        <v>2098</v>
      </c>
      <c r="B32" t="s">
        <v>2099</v>
      </c>
    </row>
    <row r="33" spans="1:2" x14ac:dyDescent="0.2">
      <c r="A33" s="231" t="s">
        <v>2100</v>
      </c>
      <c r="B33" t="s">
        <v>2101</v>
      </c>
    </row>
    <row r="34" spans="1:2" x14ac:dyDescent="0.2">
      <c r="A34" s="231" t="s">
        <v>2102</v>
      </c>
      <c r="B34" t="s">
        <v>2103</v>
      </c>
    </row>
    <row r="36" spans="1:2" x14ac:dyDescent="0.2">
      <c r="A36" s="230" t="s">
        <v>2104</v>
      </c>
      <c r="B36" s="230" t="s">
        <v>1315</v>
      </c>
    </row>
    <row r="37" spans="1:2" x14ac:dyDescent="0.2">
      <c r="A37" s="231" t="s">
        <v>1350</v>
      </c>
      <c r="B37" t="s">
        <v>2105</v>
      </c>
    </row>
    <row r="38" spans="1:2" x14ac:dyDescent="0.2">
      <c r="A38" s="231" t="s">
        <v>1332</v>
      </c>
      <c r="B38" t="s">
        <v>2106</v>
      </c>
    </row>
    <row r="39" spans="1:2" x14ac:dyDescent="0.2">
      <c r="A39" s="231" t="s">
        <v>1356</v>
      </c>
      <c r="B39" t="s">
        <v>2107</v>
      </c>
    </row>
  </sheetData>
  <hyperlinks>
    <hyperlink ref="A6" location="'Master Monitor'!A1" display="Master Monitor" xr:uid="{9854803C-AEB8-CD4A-BC1A-CD941374BDE3}"/>
    <hyperlink ref="A7" location="'Dashboard'!A1" display="Dashboard" xr:uid="{F8FD01FB-7EAE-9648-9200-ED1A44B9829E}"/>
    <hyperlink ref="A8" location="'Scoreboard'!A1" display="Scoreboard" xr:uid="{6D35C362-9454-5549-9D15-A18D84CE2FE1}"/>
    <hyperlink ref="A11" location="'Library Index'!A1" display="Library Index" xr:uid="{B2DAD30F-9CC2-6144-8EEC-C20BDC2E3682}"/>
    <hyperlink ref="A12" location="'Samples'!A1" display="Samples" xr:uid="{697CFDCF-832B-5F42-8F18-E8CFE67AE77F}"/>
    <hyperlink ref="A13" location="'Brands'!A1" display="Brands" xr:uid="{841F540A-418E-CA4C-A06E-9CAB3B92627C}"/>
    <hyperlink ref="A14" location="'Vendors'!A1" display="Vendors" xr:uid="{D02AAC77-30DD-5E4C-90D7-DAE74291FA53}"/>
    <hyperlink ref="A15" location="'Credit Splits'!A1" display="Credit Splits" xr:uid="{ACFE3E26-4158-3648-BB29-9A9BECB6C2DC}"/>
    <hyperlink ref="A18" location="'Scan Queue'!A1" display="Scan Queue" xr:uid="{5FE309C1-D41C-F443-A985-7BE0AF5524B6}"/>
    <hyperlink ref="A19" location="'Processing'!A1" display="Processing" xr:uid="{FB391EA8-3155-FB47-A933-9CDAEBAB2F1F}"/>
    <hyperlink ref="A20" location="'Scan Commands'!A1" display="Scan Commands" xr:uid="{7C5FD125-CBB8-004B-BF81-153BEF6BF40F}"/>
    <hyperlink ref="A23" location="'Identifiers'!A1" display="Identifiers" xr:uid="{1607FA51-DDF0-AE4E-956B-CEB7E4AC77BE}"/>
    <hyperlink ref="A24" location="'Tags'!A1" display="Tags" xr:uid="{E1EF9610-0F2B-C345-8F98-A6EE1920283A}"/>
    <hyperlink ref="A25" location="'Search Hub'!A1" display="Search Hub" xr:uid="{675DC409-6619-8140-993E-69E217E64B1C}"/>
    <hyperlink ref="A26" location="'Naming Standard'!A1" display="Naming Standard" xr:uid="{7235F0FC-2D23-114A-A2C1-8D5B9F8EE60A}"/>
    <hyperlink ref="A29" location="'Distribution'!A1" display="Distribution" xr:uid="{E6463B92-228F-DA4A-86BC-67D991997F44}"/>
    <hyperlink ref="A30" location="'Clone Status'!A1" display="Clone Status" xr:uid="{C8FCADCA-3C29-2648-846A-70F6EF1BAB44}"/>
    <hyperlink ref="A31" location="'Global Data Map'!A1" display="Global Data Map" xr:uid="{48EDA49D-33D8-EC41-843D-777D1D5D835E}"/>
    <hyperlink ref="A32" location="'Load Balancer'!A1" display="Load Balancer" xr:uid="{AC356FA3-3DBB-CE4A-A040-AEF87378AB6A}"/>
    <hyperlink ref="A33" location="'Blend &amp; Merge Plan'!A1" display="Blend &amp; Merge Plan" xr:uid="{2D1ECB76-0B3F-7F45-A15F-8D5AB55F653D}"/>
    <hyperlink ref="A34" location="'Dedupe Sim'!A1" display="Dedupe Sim" xr:uid="{55A014F9-AEF8-A54B-86DE-94397D7F3A4D}"/>
    <hyperlink ref="A37" location="'Rights &amp; Licensing'!A1" display="Rights &amp; Licensing" xr:uid="{A5EF9707-9838-A74C-8A58-334D2950F7B2}"/>
    <hyperlink ref="A38" location="'Integrity'!A1" display="Integrity" xr:uid="{2522ED7F-82A9-8741-93FC-511617D1ACA7}"/>
    <hyperlink ref="A39" location="'System Wiki'!A1" display="System Wiki" xr:uid="{666E9331-3777-534F-9285-F86D81D7259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546D5-62AE-3143-BE85-32329B2D2660}">
  <dimension ref="A1:A27"/>
  <sheetViews>
    <sheetView tabSelected="1" workbookViewId="0">
      <pane ySplit="2" topLeftCell="A3" activePane="bottomLeft" state="frozen"/>
      <selection pane="bottomLeft"/>
    </sheetView>
  </sheetViews>
  <sheetFormatPr baseColWidth="10" defaultRowHeight="16" x14ac:dyDescent="0.2"/>
  <cols>
    <col min="1" max="1" width="130" customWidth="1"/>
  </cols>
  <sheetData>
    <row r="1" spans="1:1" ht="20" x14ac:dyDescent="0.2">
      <c r="A1" s="356" t="s">
        <v>3221</v>
      </c>
    </row>
    <row r="2" spans="1:1" ht="34" x14ac:dyDescent="0.2">
      <c r="A2" s="357" t="s">
        <v>3222</v>
      </c>
    </row>
    <row r="3" spans="1:1" x14ac:dyDescent="0.2">
      <c r="A3" s="114"/>
    </row>
    <row r="4" spans="1:1" ht="17" x14ac:dyDescent="0.2">
      <c r="A4" s="358" t="s">
        <v>3223</v>
      </c>
    </row>
    <row r="5" spans="1:1" ht="51" x14ac:dyDescent="0.2">
      <c r="A5" s="359" t="s">
        <v>3224</v>
      </c>
    </row>
    <row r="6" spans="1:1" x14ac:dyDescent="0.2">
      <c r="A6" s="114"/>
    </row>
    <row r="7" spans="1:1" ht="17" x14ac:dyDescent="0.2">
      <c r="A7" s="360" t="s">
        <v>3225</v>
      </c>
    </row>
    <row r="8" spans="1:1" ht="34" x14ac:dyDescent="0.2">
      <c r="A8" s="361" t="s">
        <v>3226</v>
      </c>
    </row>
    <row r="9" spans="1:1" ht="34" x14ac:dyDescent="0.2">
      <c r="A9" s="362" t="s">
        <v>3227</v>
      </c>
    </row>
    <row r="10" spans="1:1" ht="34" x14ac:dyDescent="0.2">
      <c r="A10" s="359" t="s">
        <v>3228</v>
      </c>
    </row>
    <row r="11" spans="1:1" x14ac:dyDescent="0.2">
      <c r="A11" s="114"/>
    </row>
    <row r="12" spans="1:1" ht="17" x14ac:dyDescent="0.2">
      <c r="A12" s="363" t="s">
        <v>3229</v>
      </c>
    </row>
    <row r="13" spans="1:1" ht="34" x14ac:dyDescent="0.2">
      <c r="A13" s="359" t="s">
        <v>3230</v>
      </c>
    </row>
    <row r="14" spans="1:1" x14ac:dyDescent="0.2">
      <c r="A14" s="114"/>
    </row>
    <row r="15" spans="1:1" ht="17" x14ac:dyDescent="0.2">
      <c r="A15" s="364" t="s">
        <v>3231</v>
      </c>
    </row>
    <row r="16" spans="1:1" ht="17" x14ac:dyDescent="0.2">
      <c r="A16" s="361" t="s">
        <v>3232</v>
      </c>
    </row>
    <row r="17" spans="1:1" x14ac:dyDescent="0.2">
      <c r="A17" s="365" t="s">
        <v>3233</v>
      </c>
    </row>
    <row r="18" spans="1:1" x14ac:dyDescent="0.2">
      <c r="A18" s="365" t="s">
        <v>3234</v>
      </c>
    </row>
    <row r="19" spans="1:1" x14ac:dyDescent="0.2">
      <c r="A19" s="365" t="s">
        <v>3235</v>
      </c>
    </row>
    <row r="20" spans="1:1" x14ac:dyDescent="0.2">
      <c r="A20" s="365" t="s">
        <v>3236</v>
      </c>
    </row>
    <row r="21" spans="1:1" x14ac:dyDescent="0.2">
      <c r="A21" s="366" t="s">
        <v>3237</v>
      </c>
    </row>
    <row r="22" spans="1:1" x14ac:dyDescent="0.2">
      <c r="A22" s="114"/>
    </row>
    <row r="23" spans="1:1" x14ac:dyDescent="0.2">
      <c r="A23" s="367" t="s">
        <v>3238</v>
      </c>
    </row>
    <row r="24" spans="1:1" ht="34" x14ac:dyDescent="0.2">
      <c r="A24" s="359" t="s">
        <v>3239</v>
      </c>
    </row>
    <row r="25" spans="1:1" x14ac:dyDescent="0.2">
      <c r="A25" s="114"/>
    </row>
    <row r="26" spans="1:1" ht="17" x14ac:dyDescent="0.2">
      <c r="A26" s="360" t="s">
        <v>3240</v>
      </c>
    </row>
    <row r="27" spans="1:1" ht="34" x14ac:dyDescent="0.2">
      <c r="A27" s="368" t="s">
        <v>3241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DA16E-9BAF-284A-8621-3F2375C019C1}">
  <dimension ref="A1:C27"/>
  <sheetViews>
    <sheetView workbookViewId="0">
      <pane ySplit="2" topLeftCell="A3" activePane="bottomLeft" state="frozen"/>
      <selection pane="bottomLeft"/>
    </sheetView>
  </sheetViews>
  <sheetFormatPr baseColWidth="10" defaultRowHeight="16" x14ac:dyDescent="0.2"/>
  <cols>
    <col min="1" max="1" width="30" customWidth="1"/>
    <col min="2" max="2" width="43.33203125" customWidth="1"/>
    <col min="3" max="3" width="78.33203125" customWidth="1"/>
  </cols>
  <sheetData>
    <row r="1" spans="1:3" ht="19" x14ac:dyDescent="0.25">
      <c r="A1" s="1" t="s">
        <v>3189</v>
      </c>
    </row>
    <row r="2" spans="1:3" x14ac:dyDescent="0.2">
      <c r="A2" s="373" t="s">
        <v>3190</v>
      </c>
      <c r="B2" s="374"/>
      <c r="C2" s="374"/>
    </row>
    <row r="4" spans="1:3" x14ac:dyDescent="0.2">
      <c r="A4" s="70" t="s">
        <v>3191</v>
      </c>
    </row>
    <row r="5" spans="1:3" x14ac:dyDescent="0.2">
      <c r="A5" s="369" t="s">
        <v>3192</v>
      </c>
      <c r="B5" s="370"/>
      <c r="C5" s="370"/>
    </row>
    <row r="7" spans="1:3" x14ac:dyDescent="0.2">
      <c r="A7" s="2" t="s">
        <v>3193</v>
      </c>
    </row>
    <row r="8" spans="1:3" ht="34" x14ac:dyDescent="0.2">
      <c r="A8" s="352" t="s">
        <v>3194</v>
      </c>
      <c r="B8" s="353" t="s">
        <v>3195</v>
      </c>
      <c r="C8" s="340" t="s">
        <v>3196</v>
      </c>
    </row>
    <row r="9" spans="1:3" ht="17" x14ac:dyDescent="0.2">
      <c r="A9" s="316" t="s">
        <v>3197</v>
      </c>
      <c r="B9" s="311" t="s">
        <v>3198</v>
      </c>
      <c r="C9" s="312" t="s">
        <v>3199</v>
      </c>
    </row>
    <row r="10" spans="1:3" ht="17" x14ac:dyDescent="0.2">
      <c r="A10" s="335" t="s">
        <v>3200</v>
      </c>
      <c r="B10" s="338" t="s">
        <v>3201</v>
      </c>
      <c r="C10" s="337" t="s">
        <v>3202</v>
      </c>
    </row>
    <row r="11" spans="1:3" x14ac:dyDescent="0.2">
      <c r="A11" s="114"/>
      <c r="B11" s="114"/>
      <c r="C11" s="116"/>
    </row>
    <row r="12" spans="1:3" x14ac:dyDescent="0.2">
      <c r="A12" s="354" t="s">
        <v>3203</v>
      </c>
      <c r="B12" s="114"/>
      <c r="C12" s="116"/>
    </row>
    <row r="13" spans="1:3" ht="17" x14ac:dyDescent="0.2">
      <c r="A13" s="352" t="s">
        <v>3204</v>
      </c>
      <c r="B13" s="353" t="s">
        <v>3205</v>
      </c>
      <c r="C13" s="340" t="s">
        <v>3206</v>
      </c>
    </row>
    <row r="14" spans="1:3" ht="17" x14ac:dyDescent="0.2">
      <c r="A14" s="316" t="s">
        <v>3129</v>
      </c>
      <c r="B14" s="311" t="s">
        <v>3207</v>
      </c>
      <c r="C14" s="312" t="s">
        <v>3208</v>
      </c>
    </row>
    <row r="15" spans="1:3" ht="34" x14ac:dyDescent="0.2">
      <c r="A15" s="335" t="s">
        <v>3209</v>
      </c>
      <c r="B15" s="355" t="s">
        <v>3210</v>
      </c>
      <c r="C15" s="337" t="s">
        <v>3211</v>
      </c>
    </row>
    <row r="17" spans="1:3" x14ac:dyDescent="0.2">
      <c r="A17" s="2" t="s">
        <v>3212</v>
      </c>
    </row>
    <row r="18" spans="1:3" x14ac:dyDescent="0.2">
      <c r="A18" s="369" t="s">
        <v>3213</v>
      </c>
      <c r="B18" s="370"/>
      <c r="C18" s="370"/>
    </row>
    <row r="20" spans="1:3" x14ac:dyDescent="0.2">
      <c r="A20" s="192" t="s">
        <v>3214</v>
      </c>
    </row>
    <row r="21" spans="1:3" x14ac:dyDescent="0.2">
      <c r="A21" s="375" t="s">
        <v>3215</v>
      </c>
      <c r="B21" s="376"/>
      <c r="C21" s="376"/>
    </row>
    <row r="23" spans="1:3" x14ac:dyDescent="0.2">
      <c r="A23" s="351" t="s">
        <v>3216</v>
      </c>
    </row>
    <row r="24" spans="1:3" x14ac:dyDescent="0.2">
      <c r="A24" s="369" t="s">
        <v>3217</v>
      </c>
      <c r="B24" s="370"/>
      <c r="C24" s="370"/>
    </row>
    <row r="25" spans="1:3" x14ac:dyDescent="0.2">
      <c r="A25" s="369" t="s">
        <v>3218</v>
      </c>
      <c r="B25" s="370"/>
      <c r="C25" s="370"/>
    </row>
    <row r="26" spans="1:3" x14ac:dyDescent="0.2">
      <c r="A26" s="369" t="s">
        <v>3219</v>
      </c>
      <c r="B26" s="370"/>
      <c r="C26" s="370"/>
    </row>
    <row r="27" spans="1:3" x14ac:dyDescent="0.2">
      <c r="A27" s="371" t="s">
        <v>3220</v>
      </c>
      <c r="B27" s="372"/>
      <c r="C27" s="372"/>
    </row>
  </sheetData>
  <mergeCells count="8">
    <mergeCell ref="A26:C26"/>
    <mergeCell ref="A27:C27"/>
    <mergeCell ref="A2:C2"/>
    <mergeCell ref="A5:C5"/>
    <mergeCell ref="A18:C18"/>
    <mergeCell ref="A21:C21"/>
    <mergeCell ref="A24:C24"/>
    <mergeCell ref="A25:C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2161A-1F6E-514F-A934-F90A774EC139}">
  <dimension ref="A1:C39"/>
  <sheetViews>
    <sheetView workbookViewId="0">
      <pane ySplit="2" topLeftCell="A3" activePane="bottomLeft" state="frozen"/>
      <selection pane="bottomLeft"/>
    </sheetView>
  </sheetViews>
  <sheetFormatPr baseColWidth="10" defaultRowHeight="16" x14ac:dyDescent="0.2"/>
  <cols>
    <col min="1" max="1" width="33.33203125" customWidth="1"/>
    <col min="2" max="2" width="50" customWidth="1"/>
    <col min="3" max="3" width="73.33203125" customWidth="1"/>
  </cols>
  <sheetData>
    <row r="1" spans="1:3" ht="19" x14ac:dyDescent="0.25">
      <c r="A1" s="1" t="s">
        <v>3121</v>
      </c>
    </row>
    <row r="2" spans="1:3" x14ac:dyDescent="0.2">
      <c r="A2" s="377" t="s">
        <v>3122</v>
      </c>
      <c r="B2" s="378"/>
      <c r="C2" s="378"/>
    </row>
    <row r="4" spans="1:3" x14ac:dyDescent="0.2">
      <c r="A4" s="2" t="s">
        <v>3123</v>
      </c>
    </row>
    <row r="5" spans="1:3" x14ac:dyDescent="0.2">
      <c r="A5" s="304" t="s">
        <v>2718</v>
      </c>
      <c r="B5" s="329" t="s">
        <v>3124</v>
      </c>
      <c r="C5" s="330" t="s">
        <v>3125</v>
      </c>
    </row>
    <row r="6" spans="1:3" x14ac:dyDescent="0.2">
      <c r="A6" s="166" t="s">
        <v>3126</v>
      </c>
      <c r="B6" s="47" t="s">
        <v>3127</v>
      </c>
      <c r="C6" s="260" t="s">
        <v>3128</v>
      </c>
    </row>
    <row r="7" spans="1:3" x14ac:dyDescent="0.2">
      <c r="A7" s="166" t="s">
        <v>3129</v>
      </c>
      <c r="B7" s="47" t="s">
        <v>3130</v>
      </c>
      <c r="C7" s="167" t="s">
        <v>3131</v>
      </c>
    </row>
    <row r="8" spans="1:3" x14ac:dyDescent="0.2">
      <c r="A8" s="166" t="s">
        <v>3132</v>
      </c>
      <c r="B8" s="47" t="s">
        <v>3133</v>
      </c>
      <c r="C8" s="260" t="s">
        <v>3134</v>
      </c>
    </row>
    <row r="9" spans="1:3" x14ac:dyDescent="0.2">
      <c r="A9" s="166" t="s">
        <v>3135</v>
      </c>
      <c r="B9" s="47" t="s">
        <v>3136</v>
      </c>
      <c r="C9" s="167" t="s">
        <v>3137</v>
      </c>
    </row>
    <row r="10" spans="1:3" x14ac:dyDescent="0.2">
      <c r="A10" s="166" t="s">
        <v>3138</v>
      </c>
      <c r="B10" s="47" t="s">
        <v>3139</v>
      </c>
      <c r="C10" s="167" t="s">
        <v>3140</v>
      </c>
    </row>
    <row r="11" spans="1:3" x14ac:dyDescent="0.2">
      <c r="A11" s="166" t="s">
        <v>3141</v>
      </c>
      <c r="B11" s="47" t="s">
        <v>3142</v>
      </c>
      <c r="C11" s="167" t="s">
        <v>3143</v>
      </c>
    </row>
    <row r="12" spans="1:3" x14ac:dyDescent="0.2">
      <c r="A12" s="166" t="s">
        <v>3144</v>
      </c>
      <c r="B12" s="47" t="s">
        <v>3145</v>
      </c>
      <c r="C12" s="167" t="s">
        <v>3146</v>
      </c>
    </row>
    <row r="13" spans="1:3" x14ac:dyDescent="0.2">
      <c r="A13" s="168" t="s">
        <v>3147</v>
      </c>
      <c r="B13" s="169" t="s">
        <v>3148</v>
      </c>
      <c r="C13" s="170" t="s">
        <v>3149</v>
      </c>
    </row>
    <row r="15" spans="1:3" x14ac:dyDescent="0.2">
      <c r="A15" s="2" t="s">
        <v>3150</v>
      </c>
    </row>
    <row r="16" spans="1:3" ht="17" x14ac:dyDescent="0.2">
      <c r="A16" s="293" t="s">
        <v>877</v>
      </c>
      <c r="B16" s="294" t="s">
        <v>3151</v>
      </c>
      <c r="C16" s="339" t="s">
        <v>3152</v>
      </c>
    </row>
    <row r="17" spans="1:3" ht="17" x14ac:dyDescent="0.2">
      <c r="A17" s="166" t="s">
        <v>3153</v>
      </c>
      <c r="B17" s="47" t="s">
        <v>3154</v>
      </c>
      <c r="C17" s="305" t="s">
        <v>3155</v>
      </c>
    </row>
    <row r="18" spans="1:3" ht="17" x14ac:dyDescent="0.2">
      <c r="A18" s="166" t="s">
        <v>3156</v>
      </c>
      <c r="B18" s="47" t="s">
        <v>3157</v>
      </c>
      <c r="C18" s="347" t="s">
        <v>3158</v>
      </c>
    </row>
    <row r="19" spans="1:3" ht="17" x14ac:dyDescent="0.2">
      <c r="A19" s="166" t="s">
        <v>3159</v>
      </c>
      <c r="B19" s="47" t="s">
        <v>3160</v>
      </c>
      <c r="C19" s="305" t="s">
        <v>3161</v>
      </c>
    </row>
    <row r="20" spans="1:3" ht="17" x14ac:dyDescent="0.2">
      <c r="A20" s="168" t="s">
        <v>3162</v>
      </c>
      <c r="B20" s="169" t="s">
        <v>3163</v>
      </c>
      <c r="C20" s="306" t="s">
        <v>3164</v>
      </c>
    </row>
    <row r="22" spans="1:3" x14ac:dyDescent="0.2">
      <c r="A22" s="2" t="s">
        <v>3165</v>
      </c>
    </row>
    <row r="23" spans="1:3" x14ac:dyDescent="0.2">
      <c r="A23" s="157" t="s">
        <v>3166</v>
      </c>
      <c r="B23" s="157"/>
      <c r="C23" s="346" t="s">
        <v>3167</v>
      </c>
    </row>
    <row r="24" spans="1:3" x14ac:dyDescent="0.2">
      <c r="A24" s="158" t="s">
        <v>3168</v>
      </c>
      <c r="B24" s="158"/>
      <c r="C24" s="196" t="s">
        <v>3167</v>
      </c>
    </row>
    <row r="25" spans="1:3" x14ac:dyDescent="0.2">
      <c r="A25" s="158" t="s">
        <v>3169</v>
      </c>
      <c r="B25" s="158"/>
      <c r="C25" s="208" t="s">
        <v>3170</v>
      </c>
    </row>
    <row r="26" spans="1:3" x14ac:dyDescent="0.2">
      <c r="A26" s="158" t="s">
        <v>3171</v>
      </c>
      <c r="B26" s="158"/>
      <c r="C26" s="158" t="s">
        <v>3172</v>
      </c>
    </row>
    <row r="27" spans="1:3" x14ac:dyDescent="0.2">
      <c r="A27" s="160" t="s">
        <v>3173</v>
      </c>
      <c r="B27" s="160"/>
      <c r="C27" s="160" t="s">
        <v>3174</v>
      </c>
    </row>
    <row r="29" spans="1:3" x14ac:dyDescent="0.2">
      <c r="A29" s="192" t="s">
        <v>3175</v>
      </c>
    </row>
    <row r="30" spans="1:3" ht="17" x14ac:dyDescent="0.2">
      <c r="A30" s="157" t="s">
        <v>3176</v>
      </c>
      <c r="B30" s="157"/>
      <c r="C30" s="348" t="s">
        <v>3177</v>
      </c>
    </row>
    <row r="31" spans="1:3" ht="34" x14ac:dyDescent="0.2">
      <c r="A31" s="158" t="s">
        <v>3178</v>
      </c>
      <c r="B31" s="158"/>
      <c r="C31" s="349" t="s">
        <v>3179</v>
      </c>
    </row>
    <row r="32" spans="1:3" ht="17" x14ac:dyDescent="0.2">
      <c r="A32" s="158" t="s">
        <v>3180</v>
      </c>
      <c r="B32" s="158"/>
      <c r="C32" s="349" t="s">
        <v>3181</v>
      </c>
    </row>
    <row r="33" spans="1:3" ht="17" x14ac:dyDescent="0.2">
      <c r="A33" s="158" t="s">
        <v>3182</v>
      </c>
      <c r="B33" s="158"/>
      <c r="C33" s="349" t="s">
        <v>3183</v>
      </c>
    </row>
    <row r="34" spans="1:3" ht="17" x14ac:dyDescent="0.2">
      <c r="A34" s="160" t="s">
        <v>3184</v>
      </c>
      <c r="B34" s="160"/>
      <c r="C34" s="350" t="s">
        <v>3185</v>
      </c>
    </row>
    <row r="36" spans="1:3" x14ac:dyDescent="0.2">
      <c r="A36" s="70" t="s">
        <v>3186</v>
      </c>
    </row>
    <row r="37" spans="1:3" x14ac:dyDescent="0.2">
      <c r="A37" s="379" t="s">
        <v>3187</v>
      </c>
      <c r="B37" s="380"/>
      <c r="C37" s="380"/>
    </row>
    <row r="39" spans="1:3" x14ac:dyDescent="0.2">
      <c r="A39" s="381" t="s">
        <v>3188</v>
      </c>
      <c r="B39" s="382"/>
      <c r="C39" s="382"/>
    </row>
  </sheetData>
  <mergeCells count="3">
    <mergeCell ref="A2:C2"/>
    <mergeCell ref="A37:C37"/>
    <mergeCell ref="A39:C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AADB-F771-6740-9ABB-962D2B455013}">
  <dimension ref="A1:C24"/>
  <sheetViews>
    <sheetView workbookViewId="0">
      <pane ySplit="2" topLeftCell="A3" activePane="bottomLeft" state="frozen"/>
      <selection pane="bottomLeft"/>
    </sheetView>
  </sheetViews>
  <sheetFormatPr baseColWidth="10" defaultRowHeight="16" x14ac:dyDescent="0.2"/>
  <cols>
    <col min="1" max="1" width="38.33203125" customWidth="1"/>
    <col min="2" max="2" width="86.6640625" customWidth="1"/>
    <col min="3" max="3" width="13.33203125" customWidth="1"/>
  </cols>
  <sheetData>
    <row r="1" spans="1:3" ht="19" x14ac:dyDescent="0.25">
      <c r="A1" s="1" t="s">
        <v>3086</v>
      </c>
    </row>
    <row r="2" spans="1:3" x14ac:dyDescent="0.2">
      <c r="A2" s="383" t="s">
        <v>3087</v>
      </c>
      <c r="B2" s="384"/>
      <c r="C2" s="384"/>
    </row>
    <row r="4" spans="1:3" x14ac:dyDescent="0.2">
      <c r="A4" s="70" t="s">
        <v>3088</v>
      </c>
    </row>
    <row r="5" spans="1:3" ht="51" x14ac:dyDescent="0.2">
      <c r="A5" s="331" t="s">
        <v>3089</v>
      </c>
      <c r="B5" s="340" t="s">
        <v>3090</v>
      </c>
    </row>
    <row r="6" spans="1:3" ht="34" x14ac:dyDescent="0.2">
      <c r="A6" s="310" t="s">
        <v>3091</v>
      </c>
      <c r="B6" s="312" t="s">
        <v>3092</v>
      </c>
    </row>
    <row r="7" spans="1:3" ht="34" x14ac:dyDescent="0.2">
      <c r="A7" s="310" t="s">
        <v>3093</v>
      </c>
      <c r="B7" s="312" t="s">
        <v>3094</v>
      </c>
    </row>
    <row r="8" spans="1:3" ht="34" x14ac:dyDescent="0.2">
      <c r="A8" s="341" t="s">
        <v>3095</v>
      </c>
      <c r="B8" s="337" t="s">
        <v>3096</v>
      </c>
    </row>
    <row r="10" spans="1:3" x14ac:dyDescent="0.2">
      <c r="A10" s="2" t="s">
        <v>3097</v>
      </c>
    </row>
    <row r="11" spans="1:3" x14ac:dyDescent="0.2">
      <c r="A11" s="331" t="s">
        <v>3098</v>
      </c>
      <c r="B11" s="332" t="s">
        <v>2324</v>
      </c>
      <c r="C11" s="333" t="s">
        <v>3099</v>
      </c>
    </row>
    <row r="12" spans="1:3" ht="17" x14ac:dyDescent="0.2">
      <c r="A12" s="310" t="s">
        <v>3100</v>
      </c>
      <c r="B12" s="323" t="s">
        <v>3101</v>
      </c>
      <c r="C12" s="342" t="s">
        <v>3102</v>
      </c>
    </row>
    <row r="13" spans="1:3" ht="17" x14ac:dyDescent="0.2">
      <c r="A13" s="310" t="s">
        <v>2579</v>
      </c>
      <c r="B13" s="323" t="s">
        <v>3103</v>
      </c>
      <c r="C13" s="343">
        <v>46120</v>
      </c>
    </row>
    <row r="14" spans="1:3" ht="17" x14ac:dyDescent="0.2">
      <c r="A14" s="310" t="s">
        <v>3104</v>
      </c>
      <c r="B14" s="323" t="s">
        <v>3105</v>
      </c>
      <c r="C14" s="343">
        <v>46122</v>
      </c>
    </row>
    <row r="15" spans="1:3" ht="17" x14ac:dyDescent="0.2">
      <c r="A15" s="310" t="s">
        <v>3106</v>
      </c>
      <c r="B15" s="323" t="s">
        <v>3107</v>
      </c>
      <c r="C15" s="343">
        <v>46122</v>
      </c>
    </row>
    <row r="16" spans="1:3" ht="17" x14ac:dyDescent="0.2">
      <c r="A16" s="310" t="s">
        <v>2588</v>
      </c>
      <c r="B16" s="323" t="s">
        <v>3108</v>
      </c>
      <c r="C16" s="343">
        <v>46119</v>
      </c>
    </row>
    <row r="17" spans="1:3" ht="17" x14ac:dyDescent="0.2">
      <c r="A17" s="310" t="s">
        <v>3109</v>
      </c>
      <c r="B17" s="323" t="s">
        <v>3110</v>
      </c>
      <c r="C17" s="343">
        <v>46122</v>
      </c>
    </row>
    <row r="18" spans="1:3" ht="17" x14ac:dyDescent="0.2">
      <c r="A18" s="310" t="s">
        <v>3111</v>
      </c>
      <c r="B18" s="323" t="s">
        <v>3112</v>
      </c>
      <c r="C18" s="343">
        <v>46126</v>
      </c>
    </row>
    <row r="19" spans="1:3" ht="17" x14ac:dyDescent="0.2">
      <c r="A19" s="310" t="s">
        <v>3113</v>
      </c>
      <c r="B19" s="323" t="s">
        <v>3114</v>
      </c>
      <c r="C19" s="343">
        <v>46125</v>
      </c>
    </row>
    <row r="20" spans="1:3" ht="17" x14ac:dyDescent="0.2">
      <c r="A20" s="310" t="s">
        <v>3115</v>
      </c>
      <c r="B20" s="323" t="s">
        <v>3116</v>
      </c>
      <c r="C20" s="343">
        <v>46129</v>
      </c>
    </row>
    <row r="21" spans="1:3" ht="34" x14ac:dyDescent="0.2">
      <c r="A21" s="341" t="s">
        <v>3117</v>
      </c>
      <c r="B21" s="344" t="s">
        <v>3118</v>
      </c>
      <c r="C21" s="345">
        <v>46136</v>
      </c>
    </row>
    <row r="23" spans="1:3" x14ac:dyDescent="0.2">
      <c r="A23" s="2" t="s">
        <v>3119</v>
      </c>
    </row>
    <row r="24" spans="1:3" x14ac:dyDescent="0.2">
      <c r="A24" s="381" t="s">
        <v>3120</v>
      </c>
      <c r="B24" s="382"/>
      <c r="C24" s="382"/>
    </row>
  </sheetData>
  <mergeCells count="2">
    <mergeCell ref="A2:C2"/>
    <mergeCell ref="A24:C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35AE-6CB9-4845-9D9E-D9F0962EDD21}">
  <dimension ref="A1:C26"/>
  <sheetViews>
    <sheetView workbookViewId="0">
      <pane ySplit="2" topLeftCell="A3" activePane="bottomLeft" state="frozen"/>
      <selection pane="bottomLeft"/>
    </sheetView>
  </sheetViews>
  <sheetFormatPr baseColWidth="10" defaultRowHeight="16" x14ac:dyDescent="0.2"/>
  <cols>
    <col min="1" max="1" width="30" customWidth="1"/>
    <col min="2" max="2" width="38.33203125" customWidth="1"/>
    <col min="3" max="3" width="76.6640625" customWidth="1"/>
  </cols>
  <sheetData>
    <row r="1" spans="1:3" ht="19" x14ac:dyDescent="0.25">
      <c r="A1" s="1" t="s">
        <v>3043</v>
      </c>
    </row>
    <row r="2" spans="1:3" x14ac:dyDescent="0.2">
      <c r="A2" s="383" t="s">
        <v>3044</v>
      </c>
      <c r="B2" s="384"/>
      <c r="C2" s="384"/>
    </row>
    <row r="4" spans="1:3" x14ac:dyDescent="0.2">
      <c r="A4" s="2" t="s">
        <v>3045</v>
      </c>
    </row>
    <row r="5" spans="1:3" x14ac:dyDescent="0.2">
      <c r="A5" s="331" t="s">
        <v>3046</v>
      </c>
      <c r="B5" s="332" t="s">
        <v>1599</v>
      </c>
      <c r="C5" s="333" t="s">
        <v>3047</v>
      </c>
    </row>
    <row r="6" spans="1:3" ht="17" x14ac:dyDescent="0.2">
      <c r="A6" s="316" t="s">
        <v>3048</v>
      </c>
      <c r="B6" s="334" t="s">
        <v>3049</v>
      </c>
      <c r="C6" s="312" t="s">
        <v>3050</v>
      </c>
    </row>
    <row r="7" spans="1:3" ht="17" x14ac:dyDescent="0.2">
      <c r="A7" s="316" t="s">
        <v>3051</v>
      </c>
      <c r="B7" s="334" t="s">
        <v>3052</v>
      </c>
      <c r="C7" s="312" t="s">
        <v>3053</v>
      </c>
    </row>
    <row r="8" spans="1:3" ht="17" x14ac:dyDescent="0.2">
      <c r="A8" s="335" t="s">
        <v>3054</v>
      </c>
      <c r="B8" s="336" t="s">
        <v>3055</v>
      </c>
      <c r="C8" s="337" t="s">
        <v>3056</v>
      </c>
    </row>
    <row r="10" spans="1:3" x14ac:dyDescent="0.2">
      <c r="A10" s="2" t="s">
        <v>3057</v>
      </c>
    </row>
    <row r="11" spans="1:3" x14ac:dyDescent="0.2">
      <c r="A11" s="385" t="s">
        <v>3058</v>
      </c>
      <c r="B11" s="385"/>
      <c r="C11" s="385"/>
    </row>
    <row r="12" spans="1:3" x14ac:dyDescent="0.2">
      <c r="A12" s="386" t="s">
        <v>3059</v>
      </c>
      <c r="B12" s="386"/>
      <c r="C12" s="386"/>
    </row>
    <row r="14" spans="1:3" x14ac:dyDescent="0.2">
      <c r="A14" s="70" t="s">
        <v>3060</v>
      </c>
    </row>
    <row r="15" spans="1:3" x14ac:dyDescent="0.2">
      <c r="A15" s="331" t="s">
        <v>3061</v>
      </c>
      <c r="B15" s="332" t="s">
        <v>3062</v>
      </c>
      <c r="C15" s="333" t="s">
        <v>3063</v>
      </c>
    </row>
    <row r="16" spans="1:3" ht="17" x14ac:dyDescent="0.2">
      <c r="A16" s="316" t="s">
        <v>3064</v>
      </c>
      <c r="B16" s="311" t="s">
        <v>3065</v>
      </c>
      <c r="C16" s="312" t="s">
        <v>3066</v>
      </c>
    </row>
    <row r="17" spans="1:3" ht="34" x14ac:dyDescent="0.2">
      <c r="A17" s="316" t="s">
        <v>3067</v>
      </c>
      <c r="B17" s="311" t="s">
        <v>3068</v>
      </c>
      <c r="C17" s="312" t="s">
        <v>3069</v>
      </c>
    </row>
    <row r="18" spans="1:3" ht="34" x14ac:dyDescent="0.2">
      <c r="A18" s="316" t="s">
        <v>3070</v>
      </c>
      <c r="B18" s="311" t="s">
        <v>3071</v>
      </c>
      <c r="C18" s="312" t="s">
        <v>3072</v>
      </c>
    </row>
    <row r="19" spans="1:3" ht="34" x14ac:dyDescent="0.2">
      <c r="A19" s="316" t="s">
        <v>3073</v>
      </c>
      <c r="B19" s="311" t="s">
        <v>3074</v>
      </c>
      <c r="C19" s="312" t="s">
        <v>3075</v>
      </c>
    </row>
    <row r="20" spans="1:3" ht="17" x14ac:dyDescent="0.2">
      <c r="A20" s="316" t="s">
        <v>3076</v>
      </c>
      <c r="B20" s="311" t="s">
        <v>3077</v>
      </c>
      <c r="C20" s="312" t="s">
        <v>3078</v>
      </c>
    </row>
    <row r="21" spans="1:3" ht="17" x14ac:dyDescent="0.2">
      <c r="A21" s="335" t="s">
        <v>3079</v>
      </c>
      <c r="B21" s="338" t="s">
        <v>3080</v>
      </c>
      <c r="C21" s="337" t="s">
        <v>3081</v>
      </c>
    </row>
    <row r="23" spans="1:3" x14ac:dyDescent="0.2">
      <c r="A23" s="265" t="s">
        <v>3082</v>
      </c>
    </row>
    <row r="24" spans="1:3" x14ac:dyDescent="0.2">
      <c r="A24" s="387" t="s">
        <v>3083</v>
      </c>
      <c r="B24" s="387"/>
      <c r="C24" s="387"/>
    </row>
    <row r="25" spans="1:3" x14ac:dyDescent="0.2">
      <c r="A25" s="372" t="s">
        <v>3084</v>
      </c>
      <c r="B25" s="372"/>
      <c r="C25" s="372"/>
    </row>
    <row r="26" spans="1:3" x14ac:dyDescent="0.2">
      <c r="A26" s="388" t="s">
        <v>3085</v>
      </c>
      <c r="B26" s="386"/>
      <c r="C26" s="386"/>
    </row>
  </sheetData>
  <mergeCells count="6">
    <mergeCell ref="A26:C26"/>
    <mergeCell ref="A2:C2"/>
    <mergeCell ref="A11:C11"/>
    <mergeCell ref="A12:C12"/>
    <mergeCell ref="A24:C24"/>
    <mergeCell ref="A25:C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2FC37-8C7D-6F4A-9B9E-C25E932AEAF9}">
  <dimension ref="A1:G26"/>
  <sheetViews>
    <sheetView workbookViewId="0">
      <pane ySplit="2" topLeftCell="A3" activePane="bottomLeft" state="frozen"/>
      <selection pane="bottomLeft"/>
    </sheetView>
  </sheetViews>
  <sheetFormatPr baseColWidth="10" defaultRowHeight="16" x14ac:dyDescent="0.2"/>
  <cols>
    <col min="1" max="1" width="28.33203125" customWidth="1"/>
    <col min="2" max="2" width="40" customWidth="1"/>
    <col min="3" max="3" width="28.33203125" customWidth="1"/>
    <col min="4" max="5" width="38.33203125" customWidth="1"/>
    <col min="6" max="6" width="23.33203125" customWidth="1"/>
    <col min="7" max="7" width="25" customWidth="1"/>
  </cols>
  <sheetData>
    <row r="1" spans="1:7" ht="19" x14ac:dyDescent="0.25">
      <c r="A1" s="1" t="s">
        <v>2320</v>
      </c>
    </row>
    <row r="2" spans="1:7" x14ac:dyDescent="0.2">
      <c r="A2" s="69" t="s">
        <v>2321</v>
      </c>
    </row>
    <row r="4" spans="1:7" x14ac:dyDescent="0.2">
      <c r="A4" s="2" t="s">
        <v>2322</v>
      </c>
    </row>
    <row r="5" spans="1:7" x14ac:dyDescent="0.2">
      <c r="A5" s="176" t="s">
        <v>2323</v>
      </c>
      <c r="B5" s="177" t="s">
        <v>2324</v>
      </c>
      <c r="C5" s="177" t="s">
        <v>2325</v>
      </c>
      <c r="D5" s="259" t="s">
        <v>2326</v>
      </c>
    </row>
    <row r="6" spans="1:7" x14ac:dyDescent="0.2">
      <c r="A6" s="166" t="s">
        <v>2327</v>
      </c>
      <c r="B6" s="47" t="s">
        <v>2328</v>
      </c>
      <c r="C6" s="47" t="s">
        <v>2329</v>
      </c>
      <c r="D6" s="214" t="s">
        <v>2330</v>
      </c>
    </row>
    <row r="7" spans="1:7" x14ac:dyDescent="0.2">
      <c r="A7" s="166" t="s">
        <v>2331</v>
      </c>
      <c r="B7" s="47" t="s">
        <v>2332</v>
      </c>
      <c r="C7" s="47" t="s">
        <v>2333</v>
      </c>
      <c r="D7" s="246" t="s">
        <v>2334</v>
      </c>
    </row>
    <row r="8" spans="1:7" x14ac:dyDescent="0.2">
      <c r="A8" s="166" t="s">
        <v>2335</v>
      </c>
      <c r="B8" s="47" t="s">
        <v>2336</v>
      </c>
      <c r="C8" s="47" t="s">
        <v>2337</v>
      </c>
      <c r="D8" s="246" t="s">
        <v>2338</v>
      </c>
    </row>
    <row r="10" spans="1:7" ht="85" x14ac:dyDescent="0.2">
      <c r="A10" s="155" t="s">
        <v>2339</v>
      </c>
      <c r="B10" s="263" t="s">
        <v>2340</v>
      </c>
    </row>
    <row r="12" spans="1:7" x14ac:dyDescent="0.2">
      <c r="A12" s="2" t="s">
        <v>2341</v>
      </c>
    </row>
    <row r="13" spans="1:7" x14ac:dyDescent="0.2">
      <c r="A13" s="176" t="s">
        <v>2342</v>
      </c>
      <c r="B13" s="177" t="s">
        <v>2323</v>
      </c>
      <c r="C13" s="177" t="s">
        <v>729</v>
      </c>
      <c r="D13" s="177" t="s">
        <v>1763</v>
      </c>
      <c r="E13" s="177" t="s">
        <v>2343</v>
      </c>
      <c r="F13" s="177" t="s">
        <v>21</v>
      </c>
      <c r="G13" s="259" t="s">
        <v>2344</v>
      </c>
    </row>
    <row r="14" spans="1:7" x14ac:dyDescent="0.2">
      <c r="A14" s="166" t="s">
        <v>2345</v>
      </c>
      <c r="B14" s="47" t="s">
        <v>2346</v>
      </c>
      <c r="C14" s="47" t="s">
        <v>2347</v>
      </c>
      <c r="D14" s="47" t="s">
        <v>2348</v>
      </c>
      <c r="E14" s="47" t="s">
        <v>1903</v>
      </c>
      <c r="F14" s="47" t="s">
        <v>1895</v>
      </c>
      <c r="G14" s="260" t="s">
        <v>2349</v>
      </c>
    </row>
    <row r="15" spans="1:7" x14ac:dyDescent="0.2">
      <c r="A15" s="166" t="s">
        <v>2350</v>
      </c>
      <c r="B15" s="47" t="s">
        <v>2351</v>
      </c>
      <c r="C15" s="47" t="s">
        <v>2352</v>
      </c>
      <c r="D15" s="47" t="s">
        <v>2353</v>
      </c>
      <c r="E15" s="47" t="s">
        <v>1886</v>
      </c>
      <c r="F15" s="47" t="s">
        <v>2354</v>
      </c>
      <c r="G15" s="260" t="s">
        <v>2355</v>
      </c>
    </row>
    <row r="16" spans="1:7" x14ac:dyDescent="0.2">
      <c r="A16" s="166" t="s">
        <v>2356</v>
      </c>
      <c r="B16" s="47" t="s">
        <v>2357</v>
      </c>
      <c r="C16" s="47" t="s">
        <v>2358</v>
      </c>
      <c r="D16" s="47" t="s">
        <v>2359</v>
      </c>
      <c r="E16" s="47" t="s">
        <v>2360</v>
      </c>
      <c r="F16" s="200" t="s">
        <v>2361</v>
      </c>
      <c r="G16" s="261" t="s">
        <v>2362</v>
      </c>
    </row>
    <row r="17" spans="1:7" x14ac:dyDescent="0.2">
      <c r="A17" s="166" t="s">
        <v>2363</v>
      </c>
      <c r="B17" s="47" t="s">
        <v>2357</v>
      </c>
      <c r="C17" s="47" t="s">
        <v>2358</v>
      </c>
      <c r="D17" s="47" t="s">
        <v>2364</v>
      </c>
      <c r="E17" s="47" t="s">
        <v>2365</v>
      </c>
      <c r="F17" s="200" t="s">
        <v>2366</v>
      </c>
      <c r="G17" s="261" t="s">
        <v>2367</v>
      </c>
    </row>
    <row r="18" spans="1:7" x14ac:dyDescent="0.2">
      <c r="A18" s="166" t="s">
        <v>2368</v>
      </c>
      <c r="B18" s="47" t="s">
        <v>2369</v>
      </c>
      <c r="C18" s="47" t="s">
        <v>2370</v>
      </c>
      <c r="D18" s="47" t="s">
        <v>2371</v>
      </c>
      <c r="E18" s="47" t="s">
        <v>2372</v>
      </c>
      <c r="F18" s="200" t="s">
        <v>2373</v>
      </c>
      <c r="G18" s="261" t="s">
        <v>2374</v>
      </c>
    </row>
    <row r="19" spans="1:7" x14ac:dyDescent="0.2">
      <c r="A19" s="166" t="s">
        <v>2375</v>
      </c>
      <c r="B19" s="47" t="s">
        <v>2369</v>
      </c>
      <c r="C19" s="47" t="s">
        <v>2376</v>
      </c>
      <c r="D19" s="47" t="s">
        <v>2377</v>
      </c>
      <c r="E19" s="47" t="s">
        <v>1903</v>
      </c>
      <c r="F19" s="200" t="s">
        <v>1895</v>
      </c>
      <c r="G19" s="260" t="s">
        <v>2355</v>
      </c>
    </row>
    <row r="21" spans="1:7" x14ac:dyDescent="0.2">
      <c r="A21" s="192" t="s">
        <v>2378</v>
      </c>
    </row>
    <row r="22" spans="1:7" ht="34" x14ac:dyDescent="0.2">
      <c r="A22" t="s">
        <v>2379</v>
      </c>
      <c r="B22" s="183" t="s">
        <v>2380</v>
      </c>
    </row>
    <row r="23" spans="1:7" ht="51" x14ac:dyDescent="0.2">
      <c r="A23" t="s">
        <v>2381</v>
      </c>
      <c r="B23" s="183" t="s">
        <v>2382</v>
      </c>
    </row>
    <row r="24" spans="1:7" ht="34" x14ac:dyDescent="0.2">
      <c r="A24" t="s">
        <v>2383</v>
      </c>
      <c r="B24" s="183" t="s">
        <v>2384</v>
      </c>
    </row>
    <row r="25" spans="1:7" ht="34" x14ac:dyDescent="0.2">
      <c r="A25" t="s">
        <v>2385</v>
      </c>
      <c r="B25" s="183" t="s">
        <v>2386</v>
      </c>
    </row>
    <row r="26" spans="1:7" ht="51" x14ac:dyDescent="0.2">
      <c r="A26" t="s">
        <v>2387</v>
      </c>
      <c r="B26" s="183" t="s">
        <v>2388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87A4-497F-EE45-9197-F9DC7F5A3CF6}">
  <dimension ref="A1:C15"/>
  <sheetViews>
    <sheetView workbookViewId="0">
      <pane ySplit="4" topLeftCell="A5" activePane="bottomLeft" state="frozen"/>
      <selection pane="bottomLeft"/>
    </sheetView>
  </sheetViews>
  <sheetFormatPr baseColWidth="10" defaultRowHeight="16" x14ac:dyDescent="0.2"/>
  <cols>
    <col min="1" max="1" width="20" customWidth="1"/>
    <col min="2" max="2" width="56.6640625" customWidth="1"/>
    <col min="3" max="3" width="71.6640625" customWidth="1"/>
  </cols>
  <sheetData>
    <row r="1" spans="1:3" ht="19" x14ac:dyDescent="0.25">
      <c r="A1" s="1" t="s">
        <v>3006</v>
      </c>
    </row>
    <row r="2" spans="1:3" x14ac:dyDescent="0.2">
      <c r="A2" s="383" t="s">
        <v>3007</v>
      </c>
      <c r="B2" s="384"/>
      <c r="C2" s="384"/>
    </row>
    <row r="4" spans="1:3" x14ac:dyDescent="0.2">
      <c r="A4" s="307" t="s">
        <v>1678</v>
      </c>
      <c r="B4" s="308" t="s">
        <v>3008</v>
      </c>
      <c r="C4" s="309" t="s">
        <v>3009</v>
      </c>
    </row>
    <row r="5" spans="1:3" ht="17" x14ac:dyDescent="0.2">
      <c r="A5" s="316" t="s">
        <v>3010</v>
      </c>
      <c r="B5" s="323" t="s">
        <v>3011</v>
      </c>
      <c r="C5" s="312" t="s">
        <v>3012</v>
      </c>
    </row>
    <row r="6" spans="1:3" ht="17" x14ac:dyDescent="0.2">
      <c r="A6" s="316" t="s">
        <v>3013</v>
      </c>
      <c r="B6" s="323" t="s">
        <v>3014</v>
      </c>
      <c r="C6" s="324" t="s">
        <v>3015</v>
      </c>
    </row>
    <row r="7" spans="1:3" ht="17" x14ac:dyDescent="0.2">
      <c r="A7" s="316" t="s">
        <v>3016</v>
      </c>
      <c r="B7" s="323" t="s">
        <v>3017</v>
      </c>
      <c r="C7" s="324" t="s">
        <v>3018</v>
      </c>
    </row>
    <row r="8" spans="1:3" ht="17" x14ac:dyDescent="0.2">
      <c r="A8" s="316" t="s">
        <v>3019</v>
      </c>
      <c r="B8" s="323" t="s">
        <v>3020</v>
      </c>
      <c r="C8" s="312" t="s">
        <v>3021</v>
      </c>
    </row>
    <row r="9" spans="1:3" ht="17" x14ac:dyDescent="0.2">
      <c r="A9" s="316" t="s">
        <v>3022</v>
      </c>
      <c r="B9" s="323" t="s">
        <v>3023</v>
      </c>
      <c r="C9" s="312" t="s">
        <v>3024</v>
      </c>
    </row>
    <row r="10" spans="1:3" ht="34" x14ac:dyDescent="0.2">
      <c r="A10" s="316" t="s">
        <v>3025</v>
      </c>
      <c r="B10" s="323" t="s">
        <v>3026</v>
      </c>
      <c r="C10" s="325" t="s">
        <v>3027</v>
      </c>
    </row>
    <row r="11" spans="1:3" ht="17" x14ac:dyDescent="0.2">
      <c r="A11" s="316" t="s">
        <v>3028</v>
      </c>
      <c r="B11" s="323" t="s">
        <v>3029</v>
      </c>
      <c r="C11" s="324" t="s">
        <v>3030</v>
      </c>
    </row>
    <row r="12" spans="1:3" ht="17" x14ac:dyDescent="0.2">
      <c r="A12" s="316" t="s">
        <v>3031</v>
      </c>
      <c r="B12" s="323" t="s">
        <v>3032</v>
      </c>
      <c r="C12" s="324" t="s">
        <v>3033</v>
      </c>
    </row>
    <row r="13" spans="1:3" ht="17" x14ac:dyDescent="0.2">
      <c r="A13" s="316" t="s">
        <v>3034</v>
      </c>
      <c r="B13" s="323" t="s">
        <v>3035</v>
      </c>
      <c r="C13" s="312" t="s">
        <v>3036</v>
      </c>
    </row>
    <row r="14" spans="1:3" ht="17" x14ac:dyDescent="0.2">
      <c r="A14" s="316" t="s">
        <v>3037</v>
      </c>
      <c r="B14" s="326" t="s">
        <v>3038</v>
      </c>
      <c r="C14" s="312" t="s">
        <v>3039</v>
      </c>
    </row>
    <row r="15" spans="1:3" ht="34" x14ac:dyDescent="0.2">
      <c r="A15" s="310" t="s">
        <v>3040</v>
      </c>
      <c r="B15" s="327" t="s">
        <v>3041</v>
      </c>
      <c r="C15" s="328" t="s">
        <v>3042</v>
      </c>
    </row>
  </sheetData>
  <mergeCells count="1">
    <mergeCell ref="A2:C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8F7BA-B271-7D4B-A133-DAAD48E7C1E7}">
  <dimension ref="A1:E17"/>
  <sheetViews>
    <sheetView workbookViewId="0">
      <pane ySplit="2" topLeftCell="A3" activePane="bottomLeft" state="frozen"/>
      <selection pane="bottomLeft"/>
    </sheetView>
  </sheetViews>
  <sheetFormatPr baseColWidth="10" defaultRowHeight="16" x14ac:dyDescent="0.2"/>
  <cols>
    <col min="1" max="1" width="5" customWidth="1"/>
    <col min="2" max="2" width="35" customWidth="1"/>
    <col min="3" max="3" width="7.5" customWidth="1"/>
    <col min="4" max="4" width="70" customWidth="1"/>
    <col min="5" max="5" width="60" customWidth="1"/>
  </cols>
  <sheetData>
    <row r="1" spans="1:5" ht="19" x14ac:dyDescent="0.25">
      <c r="A1" s="1" t="s">
        <v>2969</v>
      </c>
    </row>
    <row r="2" spans="1:5" x14ac:dyDescent="0.2">
      <c r="A2" s="386" t="s">
        <v>2970</v>
      </c>
      <c r="B2" s="386"/>
      <c r="C2" s="386"/>
      <c r="D2" s="386"/>
      <c r="E2" s="386"/>
    </row>
    <row r="4" spans="1:5" x14ac:dyDescent="0.2">
      <c r="A4" s="70" t="s">
        <v>2971</v>
      </c>
    </row>
    <row r="5" spans="1:5" x14ac:dyDescent="0.2">
      <c r="A5" s="155" t="s">
        <v>2972</v>
      </c>
      <c r="B5" s="389" t="s">
        <v>2973</v>
      </c>
      <c r="C5" s="389"/>
      <c r="D5" s="389"/>
      <c r="E5" s="389"/>
    </row>
    <row r="6" spans="1:5" x14ac:dyDescent="0.2">
      <c r="A6" s="155" t="s">
        <v>2974</v>
      </c>
      <c r="B6" s="389" t="s">
        <v>2975</v>
      </c>
      <c r="C6" s="389"/>
      <c r="D6" s="389"/>
      <c r="E6" s="389"/>
    </row>
    <row r="8" spans="1:5" x14ac:dyDescent="0.2">
      <c r="A8" s="70" t="s">
        <v>2976</v>
      </c>
    </row>
    <row r="9" spans="1:5" x14ac:dyDescent="0.2">
      <c r="A9" s="307" t="s">
        <v>1420</v>
      </c>
      <c r="B9" s="308" t="s">
        <v>2977</v>
      </c>
      <c r="C9" s="308" t="s">
        <v>2978</v>
      </c>
      <c r="D9" s="308" t="s">
        <v>2979</v>
      </c>
      <c r="E9" s="309" t="s">
        <v>2980</v>
      </c>
    </row>
    <row r="10" spans="1:5" ht="34" x14ac:dyDescent="0.2">
      <c r="A10" s="316">
        <v>1</v>
      </c>
      <c r="B10" s="317" t="s">
        <v>2981</v>
      </c>
      <c r="C10" s="318" t="s">
        <v>2982</v>
      </c>
      <c r="D10" s="319" t="s">
        <v>2983</v>
      </c>
      <c r="E10" s="312" t="s">
        <v>2984</v>
      </c>
    </row>
    <row r="11" spans="1:5" ht="34" x14ac:dyDescent="0.2">
      <c r="A11" s="316">
        <v>2</v>
      </c>
      <c r="B11" s="317" t="s">
        <v>2985</v>
      </c>
      <c r="C11" s="318" t="s">
        <v>2982</v>
      </c>
      <c r="D11" s="319" t="s">
        <v>2986</v>
      </c>
      <c r="E11" s="312" t="s">
        <v>2987</v>
      </c>
    </row>
    <row r="12" spans="1:5" ht="17" x14ac:dyDescent="0.2">
      <c r="A12" s="316">
        <v>3</v>
      </c>
      <c r="B12" s="317" t="s">
        <v>2988</v>
      </c>
      <c r="C12" s="318" t="s">
        <v>2982</v>
      </c>
      <c r="D12" s="319" t="s">
        <v>2989</v>
      </c>
      <c r="E12" s="312" t="s">
        <v>2990</v>
      </c>
    </row>
    <row r="13" spans="1:5" ht="17" x14ac:dyDescent="0.2">
      <c r="A13" s="316">
        <v>4</v>
      </c>
      <c r="B13" s="317" t="s">
        <v>2991</v>
      </c>
      <c r="C13" s="320" t="s">
        <v>2179</v>
      </c>
      <c r="D13" s="321" t="s">
        <v>2992</v>
      </c>
      <c r="E13" s="312" t="s">
        <v>2993</v>
      </c>
    </row>
    <row r="14" spans="1:5" ht="51" x14ac:dyDescent="0.2">
      <c r="A14" s="316">
        <v>5</v>
      </c>
      <c r="B14" s="317" t="s">
        <v>2994</v>
      </c>
      <c r="C14" s="320" t="s">
        <v>2179</v>
      </c>
      <c r="D14" s="321" t="s">
        <v>2995</v>
      </c>
      <c r="E14" s="312" t="s">
        <v>2996</v>
      </c>
    </row>
    <row r="15" spans="1:5" ht="17" x14ac:dyDescent="0.2">
      <c r="A15" s="316">
        <v>6</v>
      </c>
      <c r="B15" s="317" t="s">
        <v>2997</v>
      </c>
      <c r="C15" s="320" t="s">
        <v>2179</v>
      </c>
      <c r="D15" s="321" t="s">
        <v>2998</v>
      </c>
      <c r="E15" s="312" t="s">
        <v>2999</v>
      </c>
    </row>
    <row r="16" spans="1:5" ht="34" x14ac:dyDescent="0.2">
      <c r="A16" s="316">
        <v>7</v>
      </c>
      <c r="B16" s="317" t="s">
        <v>3000</v>
      </c>
      <c r="C16" s="322" t="s">
        <v>2193</v>
      </c>
      <c r="D16" s="321" t="s">
        <v>3001</v>
      </c>
      <c r="E16" s="312" t="s">
        <v>3002</v>
      </c>
    </row>
    <row r="17" spans="1:5" ht="17" x14ac:dyDescent="0.2">
      <c r="A17" s="316">
        <v>8</v>
      </c>
      <c r="B17" s="317" t="s">
        <v>3003</v>
      </c>
      <c r="C17" s="322" t="s">
        <v>2193</v>
      </c>
      <c r="D17" s="321" t="s">
        <v>3004</v>
      </c>
      <c r="E17" s="312" t="s">
        <v>3005</v>
      </c>
    </row>
  </sheetData>
  <mergeCells count="3">
    <mergeCell ref="A2:E2"/>
    <mergeCell ref="B5:E5"/>
    <mergeCell ref="B6:E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5FBD-AA14-6E46-A582-39ECF9BF6DC5}">
  <dimension ref="A1:C32"/>
  <sheetViews>
    <sheetView workbookViewId="0">
      <pane ySplit="2" topLeftCell="A3" activePane="bottomLeft" state="frozen"/>
      <selection pane="bottomLeft"/>
    </sheetView>
  </sheetViews>
  <sheetFormatPr baseColWidth="10" defaultRowHeight="16" x14ac:dyDescent="0.2"/>
  <cols>
    <col min="1" max="1" width="33.33203125" customWidth="1"/>
    <col min="2" max="2" width="40" customWidth="1"/>
    <col min="3" max="3" width="80" customWidth="1"/>
  </cols>
  <sheetData>
    <row r="1" spans="1:3" ht="19" x14ac:dyDescent="0.25">
      <c r="A1" s="1" t="s">
        <v>2929</v>
      </c>
    </row>
    <row r="2" spans="1:3" x14ac:dyDescent="0.2">
      <c r="A2" s="388" t="s">
        <v>2930</v>
      </c>
      <c r="B2" s="386"/>
      <c r="C2" s="386"/>
    </row>
    <row r="4" spans="1:3" x14ac:dyDescent="0.2">
      <c r="A4" s="70" t="s">
        <v>2931</v>
      </c>
    </row>
    <row r="5" spans="1:3" x14ac:dyDescent="0.2">
      <c r="A5" s="307" t="s">
        <v>2932</v>
      </c>
      <c r="B5" s="308" t="s">
        <v>2933</v>
      </c>
      <c r="C5" s="309" t="s">
        <v>2890</v>
      </c>
    </row>
    <row r="6" spans="1:3" ht="34" x14ac:dyDescent="0.2">
      <c r="A6" s="310" t="s">
        <v>2934</v>
      </c>
      <c r="B6" s="311" t="s">
        <v>2935</v>
      </c>
      <c r="C6" s="312" t="s">
        <v>2936</v>
      </c>
    </row>
    <row r="7" spans="1:3" ht="34" x14ac:dyDescent="0.2">
      <c r="A7" s="310" t="s">
        <v>2937</v>
      </c>
      <c r="B7" s="311" t="s">
        <v>2938</v>
      </c>
      <c r="C7" s="312" t="s">
        <v>2939</v>
      </c>
    </row>
    <row r="8" spans="1:3" ht="34" x14ac:dyDescent="0.2">
      <c r="A8" s="310" t="s">
        <v>2940</v>
      </c>
      <c r="B8" s="311" t="s">
        <v>2941</v>
      </c>
      <c r="C8" s="312" t="s">
        <v>2942</v>
      </c>
    </row>
    <row r="9" spans="1:3" ht="34" x14ac:dyDescent="0.2">
      <c r="A9" s="310" t="s">
        <v>2943</v>
      </c>
      <c r="B9" s="311" t="s">
        <v>2944</v>
      </c>
      <c r="C9" s="312" t="s">
        <v>2945</v>
      </c>
    </row>
    <row r="10" spans="1:3" ht="34" x14ac:dyDescent="0.2">
      <c r="A10" s="310" t="s">
        <v>2946</v>
      </c>
      <c r="B10" s="311" t="s">
        <v>2947</v>
      </c>
      <c r="C10" s="312" t="s">
        <v>2948</v>
      </c>
    </row>
    <row r="11" spans="1:3" ht="51" x14ac:dyDescent="0.2">
      <c r="A11" s="313" t="s">
        <v>2949</v>
      </c>
      <c r="B11" s="314" t="s">
        <v>2950</v>
      </c>
      <c r="C11" s="315" t="s">
        <v>2951</v>
      </c>
    </row>
    <row r="13" spans="1:3" x14ac:dyDescent="0.2">
      <c r="A13" s="70" t="s">
        <v>2952</v>
      </c>
    </row>
    <row r="14" spans="1:3" x14ac:dyDescent="0.2">
      <c r="A14" s="369" t="s">
        <v>2953</v>
      </c>
      <c r="B14" s="369"/>
      <c r="C14" s="369"/>
    </row>
    <row r="15" spans="1:3" x14ac:dyDescent="0.2">
      <c r="A15" s="369" t="s">
        <v>2954</v>
      </c>
      <c r="B15" s="369"/>
      <c r="C15" s="369"/>
    </row>
    <row r="16" spans="1:3" x14ac:dyDescent="0.2">
      <c r="A16" s="369" t="s">
        <v>2955</v>
      </c>
      <c r="B16" s="369"/>
      <c r="C16" s="369"/>
    </row>
    <row r="17" spans="1:3" x14ac:dyDescent="0.2">
      <c r="A17" s="369" t="s">
        <v>2956</v>
      </c>
      <c r="B17" s="369"/>
      <c r="C17" s="369"/>
    </row>
    <row r="18" spans="1:3" x14ac:dyDescent="0.2">
      <c r="A18" s="369" t="s">
        <v>2957</v>
      </c>
      <c r="B18" s="369"/>
      <c r="C18" s="369"/>
    </row>
    <row r="20" spans="1:3" x14ac:dyDescent="0.2">
      <c r="A20" s="2" t="s">
        <v>2958</v>
      </c>
    </row>
    <row r="21" spans="1:3" x14ac:dyDescent="0.2">
      <c r="A21" s="391" t="s">
        <v>2959</v>
      </c>
      <c r="B21" s="391"/>
      <c r="C21" s="391"/>
    </row>
    <row r="22" spans="1:3" x14ac:dyDescent="0.2">
      <c r="A22" s="388" t="s">
        <v>2960</v>
      </c>
      <c r="B22" s="386"/>
      <c r="C22" s="386"/>
    </row>
    <row r="24" spans="1:3" x14ac:dyDescent="0.2">
      <c r="A24" s="2" t="s">
        <v>2961</v>
      </c>
    </row>
    <row r="25" spans="1:3" x14ac:dyDescent="0.2">
      <c r="A25" s="369" t="s">
        <v>2962</v>
      </c>
      <c r="B25" s="369"/>
      <c r="C25" s="369"/>
    </row>
    <row r="26" spans="1:3" x14ac:dyDescent="0.2">
      <c r="A26" s="369" t="s">
        <v>2963</v>
      </c>
      <c r="B26" s="369"/>
      <c r="C26" s="369"/>
    </row>
    <row r="27" spans="1:3" x14ac:dyDescent="0.2">
      <c r="A27" s="369" t="s">
        <v>2964</v>
      </c>
      <c r="B27" s="369"/>
      <c r="C27" s="369"/>
    </row>
    <row r="28" spans="1:3" x14ac:dyDescent="0.2">
      <c r="A28" s="369" t="s">
        <v>2965</v>
      </c>
      <c r="B28" s="369"/>
      <c r="C28" s="369"/>
    </row>
    <row r="29" spans="1:3" x14ac:dyDescent="0.2">
      <c r="A29" s="369" t="s">
        <v>2966</v>
      </c>
      <c r="B29" s="369"/>
      <c r="C29" s="369"/>
    </row>
    <row r="30" spans="1:3" x14ac:dyDescent="0.2">
      <c r="A30" s="369" t="s">
        <v>2967</v>
      </c>
      <c r="B30" s="369"/>
      <c r="C30" s="369"/>
    </row>
    <row r="31" spans="1:3" x14ac:dyDescent="0.2">
      <c r="A31" s="183"/>
      <c r="B31" s="183"/>
      <c r="C31" s="183"/>
    </row>
    <row r="32" spans="1:3" x14ac:dyDescent="0.2">
      <c r="A32" s="390" t="s">
        <v>2968</v>
      </c>
      <c r="B32" s="390"/>
      <c r="C32" s="390"/>
    </row>
  </sheetData>
  <mergeCells count="15">
    <mergeCell ref="A18:C18"/>
    <mergeCell ref="A2:C2"/>
    <mergeCell ref="A14:C14"/>
    <mergeCell ref="A15:C15"/>
    <mergeCell ref="A16:C16"/>
    <mergeCell ref="A17:C17"/>
    <mergeCell ref="A29:C29"/>
    <mergeCell ref="A30:C30"/>
    <mergeCell ref="A32:C32"/>
    <mergeCell ref="A21:C21"/>
    <mergeCell ref="A22:C22"/>
    <mergeCell ref="A25:C25"/>
    <mergeCell ref="A26:C26"/>
    <mergeCell ref="A27:C27"/>
    <mergeCell ref="A28:C2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2DDAD-96AE-6F49-A15F-B4918E9DB211}">
  <dimension ref="A1:C28"/>
  <sheetViews>
    <sheetView workbookViewId="0">
      <pane ySplit="2" topLeftCell="A3" activePane="bottomLeft" state="frozen"/>
      <selection pane="bottomLeft"/>
    </sheetView>
  </sheetViews>
  <sheetFormatPr baseColWidth="10" defaultRowHeight="16" x14ac:dyDescent="0.2"/>
  <cols>
    <col min="1" max="1" width="23.33203125" customWidth="1"/>
    <col min="2" max="2" width="60" customWidth="1"/>
    <col min="3" max="3" width="71.6640625" customWidth="1"/>
  </cols>
  <sheetData>
    <row r="1" spans="1:3" ht="19" x14ac:dyDescent="0.25">
      <c r="A1" s="1" t="s">
        <v>2886</v>
      </c>
    </row>
    <row r="2" spans="1:3" x14ac:dyDescent="0.2">
      <c r="A2" s="388" t="s">
        <v>2887</v>
      </c>
      <c r="B2" s="386"/>
      <c r="C2" s="386"/>
    </row>
    <row r="4" spans="1:3" x14ac:dyDescent="0.2">
      <c r="A4" s="2" t="s">
        <v>2888</v>
      </c>
    </row>
    <row r="5" spans="1:3" x14ac:dyDescent="0.2">
      <c r="A5" s="174" t="s">
        <v>2889</v>
      </c>
      <c r="B5" s="257" t="s">
        <v>2392</v>
      </c>
      <c r="C5" s="258" t="s">
        <v>2890</v>
      </c>
    </row>
    <row r="6" spans="1:3" ht="34" x14ac:dyDescent="0.2">
      <c r="A6" s="226" t="s">
        <v>2891</v>
      </c>
      <c r="B6" s="47" t="s">
        <v>2892</v>
      </c>
      <c r="C6" s="305" t="s">
        <v>2893</v>
      </c>
    </row>
    <row r="7" spans="1:3" ht="34" x14ac:dyDescent="0.2">
      <c r="A7" s="226" t="s">
        <v>2894</v>
      </c>
      <c r="B7" s="47" t="s">
        <v>2895</v>
      </c>
      <c r="C7" s="305" t="s">
        <v>2896</v>
      </c>
    </row>
    <row r="8" spans="1:3" ht="34" x14ac:dyDescent="0.2">
      <c r="A8" s="226" t="s">
        <v>2897</v>
      </c>
      <c r="B8" s="47" t="s">
        <v>2898</v>
      </c>
      <c r="C8" s="305" t="s">
        <v>2899</v>
      </c>
    </row>
    <row r="9" spans="1:3" ht="17" x14ac:dyDescent="0.2">
      <c r="A9" s="226" t="s">
        <v>2900</v>
      </c>
      <c r="B9" s="47" t="s">
        <v>2901</v>
      </c>
      <c r="C9" s="305" t="s">
        <v>2902</v>
      </c>
    </row>
    <row r="10" spans="1:3" ht="17" x14ac:dyDescent="0.2">
      <c r="A10" s="226" t="s">
        <v>2903</v>
      </c>
      <c r="B10" s="47" t="s">
        <v>2904</v>
      </c>
      <c r="C10" s="305" t="s">
        <v>2905</v>
      </c>
    </row>
    <row r="11" spans="1:3" ht="17" x14ac:dyDescent="0.2">
      <c r="A11" s="226" t="s">
        <v>2906</v>
      </c>
      <c r="B11" s="47" t="s">
        <v>2907</v>
      </c>
      <c r="C11" s="305" t="s">
        <v>2908</v>
      </c>
    </row>
    <row r="12" spans="1:3" ht="17" x14ac:dyDescent="0.2">
      <c r="A12" s="225" t="s">
        <v>2909</v>
      </c>
      <c r="B12" s="169" t="s">
        <v>2910</v>
      </c>
      <c r="C12" s="306" t="s">
        <v>2911</v>
      </c>
    </row>
    <row r="14" spans="1:3" x14ac:dyDescent="0.2">
      <c r="A14" s="2" t="s">
        <v>2912</v>
      </c>
    </row>
    <row r="15" spans="1:3" x14ac:dyDescent="0.2">
      <c r="A15" s="304" t="s">
        <v>2913</v>
      </c>
      <c r="B15" s="395" t="s">
        <v>2914</v>
      </c>
      <c r="C15" s="369"/>
    </row>
    <row r="16" spans="1:3" x14ac:dyDescent="0.2">
      <c r="A16" s="226" t="s">
        <v>2915</v>
      </c>
      <c r="B16" s="395" t="s">
        <v>2916</v>
      </c>
      <c r="C16" s="369"/>
    </row>
    <row r="17" spans="1:3" x14ac:dyDescent="0.2">
      <c r="A17" s="226" t="s">
        <v>2917</v>
      </c>
      <c r="B17" s="395" t="s">
        <v>2918</v>
      </c>
      <c r="C17" s="369"/>
    </row>
    <row r="18" spans="1:3" x14ac:dyDescent="0.2">
      <c r="A18" s="225" t="s">
        <v>2919</v>
      </c>
      <c r="B18" s="395" t="s">
        <v>2920</v>
      </c>
      <c r="C18" s="369"/>
    </row>
    <row r="20" spans="1:3" x14ac:dyDescent="0.2">
      <c r="A20" s="2" t="s">
        <v>2921</v>
      </c>
    </row>
    <row r="21" spans="1:3" x14ac:dyDescent="0.2">
      <c r="A21" s="393" t="s">
        <v>2922</v>
      </c>
      <c r="B21" s="393"/>
      <c r="C21" s="393"/>
    </row>
    <row r="22" spans="1:3" x14ac:dyDescent="0.2">
      <c r="A22" s="392" t="s">
        <v>2923</v>
      </c>
      <c r="B22" s="392"/>
      <c r="C22" s="392"/>
    </row>
    <row r="23" spans="1:3" x14ac:dyDescent="0.2">
      <c r="A23" s="392" t="s">
        <v>2924</v>
      </c>
      <c r="B23" s="392"/>
      <c r="C23" s="392"/>
    </row>
    <row r="24" spans="1:3" x14ac:dyDescent="0.2">
      <c r="A24" s="392" t="s">
        <v>2925</v>
      </c>
      <c r="B24" s="392"/>
      <c r="C24" s="392"/>
    </row>
    <row r="25" spans="1:3" x14ac:dyDescent="0.2">
      <c r="A25" s="392" t="s">
        <v>2926</v>
      </c>
      <c r="B25" s="392"/>
      <c r="C25" s="392"/>
    </row>
    <row r="26" spans="1:3" x14ac:dyDescent="0.2">
      <c r="A26" s="393" t="s">
        <v>2927</v>
      </c>
      <c r="B26" s="393"/>
      <c r="C26" s="393"/>
    </row>
    <row r="28" spans="1:3" x14ac:dyDescent="0.2">
      <c r="A28" s="390" t="s">
        <v>2928</v>
      </c>
      <c r="B28" s="394"/>
      <c r="C28" s="394"/>
    </row>
  </sheetData>
  <mergeCells count="12">
    <mergeCell ref="A25:C25"/>
    <mergeCell ref="A26:C26"/>
    <mergeCell ref="A2:C2"/>
    <mergeCell ref="A28:C28"/>
    <mergeCell ref="B15:C15"/>
    <mergeCell ref="B16:C16"/>
    <mergeCell ref="B17:C17"/>
    <mergeCell ref="B18:C18"/>
    <mergeCell ref="A21:C21"/>
    <mergeCell ref="A22:C22"/>
    <mergeCell ref="A23:C23"/>
    <mergeCell ref="A24:C2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9ECB-FAAA-B245-AA94-0A80456B564E}">
  <dimension ref="A1:C13"/>
  <sheetViews>
    <sheetView zoomScale="190" zoomScaleNormal="190" workbookViewId="0">
      <pane ySplit="4" topLeftCell="A5" activePane="bottomLeft" state="frozen"/>
      <selection pane="bottomLeft" sqref="A1:C1"/>
    </sheetView>
  </sheetViews>
  <sheetFormatPr baseColWidth="10" defaultRowHeight="16" x14ac:dyDescent="0.2"/>
  <cols>
    <col min="1" max="1" width="35" customWidth="1"/>
    <col min="2" max="2" width="93.33203125" customWidth="1"/>
    <col min="3" max="3" width="15" customWidth="1"/>
  </cols>
  <sheetData>
    <row r="1" spans="1:3" ht="19" x14ac:dyDescent="0.25">
      <c r="A1" s="396" t="s">
        <v>2866</v>
      </c>
      <c r="B1" s="396"/>
      <c r="C1" s="396"/>
    </row>
    <row r="2" spans="1:3" x14ac:dyDescent="0.2">
      <c r="A2" s="386" t="s">
        <v>2867</v>
      </c>
      <c r="B2" s="386"/>
      <c r="C2" s="386"/>
    </row>
    <row r="4" spans="1:3" x14ac:dyDescent="0.2">
      <c r="A4" s="163" t="s">
        <v>2868</v>
      </c>
      <c r="B4" s="164" t="s">
        <v>2869</v>
      </c>
      <c r="C4" s="165" t="s">
        <v>2870</v>
      </c>
    </row>
    <row r="5" spans="1:3" ht="119" x14ac:dyDescent="0.2">
      <c r="A5" s="300" t="s">
        <v>2871</v>
      </c>
      <c r="B5" s="301" t="s">
        <v>2872</v>
      </c>
      <c r="C5" s="302" t="s">
        <v>1999</v>
      </c>
    </row>
    <row r="6" spans="1:3" ht="68" x14ac:dyDescent="0.2">
      <c r="A6" s="300" t="s">
        <v>2873</v>
      </c>
      <c r="B6" s="301" t="s">
        <v>2874</v>
      </c>
      <c r="C6" s="302" t="s">
        <v>1999</v>
      </c>
    </row>
    <row r="7" spans="1:3" ht="119" x14ac:dyDescent="0.2">
      <c r="A7" s="300" t="s">
        <v>2875</v>
      </c>
      <c r="B7" s="301" t="s">
        <v>2876</v>
      </c>
      <c r="C7" s="302" t="s">
        <v>1999</v>
      </c>
    </row>
    <row r="8" spans="1:3" ht="102" x14ac:dyDescent="0.2">
      <c r="A8" s="300" t="s">
        <v>2877</v>
      </c>
      <c r="B8" s="301" t="s">
        <v>2878</v>
      </c>
      <c r="C8" s="302" t="s">
        <v>1999</v>
      </c>
    </row>
    <row r="9" spans="1:3" ht="85" x14ac:dyDescent="0.2">
      <c r="A9" s="300" t="s">
        <v>2879</v>
      </c>
      <c r="B9" s="301" t="s">
        <v>2880</v>
      </c>
      <c r="C9" s="302" t="s">
        <v>1999</v>
      </c>
    </row>
    <row r="10" spans="1:3" ht="85" x14ac:dyDescent="0.2">
      <c r="A10" s="300" t="s">
        <v>2881</v>
      </c>
      <c r="B10" s="301" t="s">
        <v>2882</v>
      </c>
      <c r="C10" s="302" t="s">
        <v>1999</v>
      </c>
    </row>
    <row r="11" spans="1:3" ht="85" x14ac:dyDescent="0.2">
      <c r="A11" s="300" t="s">
        <v>2883</v>
      </c>
      <c r="B11" s="303" t="s">
        <v>2884</v>
      </c>
      <c r="C11" s="302" t="s">
        <v>1999</v>
      </c>
    </row>
    <row r="13" spans="1:3" x14ac:dyDescent="0.2">
      <c r="A13" s="397" t="s">
        <v>2885</v>
      </c>
      <c r="B13" s="398"/>
      <c r="C13" s="398"/>
    </row>
  </sheetData>
  <mergeCells count="3">
    <mergeCell ref="A1:C1"/>
    <mergeCell ref="A2:C2"/>
    <mergeCell ref="A13:C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FBAC-6495-D544-B9F0-D15B22A71DB7}">
  <dimension ref="A1:D29"/>
  <sheetViews>
    <sheetView zoomScale="190" zoomScaleNormal="190" workbookViewId="0">
      <pane ySplit="2" topLeftCell="A3" activePane="bottomLeft" state="frozen"/>
      <selection pane="bottomLeft"/>
    </sheetView>
  </sheetViews>
  <sheetFormatPr baseColWidth="10" defaultRowHeight="16" x14ac:dyDescent="0.2"/>
  <cols>
    <col min="1" max="1" width="28.33203125" customWidth="1"/>
    <col min="2" max="2" width="56.6640625" customWidth="1"/>
    <col min="3" max="3" width="60" customWidth="1"/>
    <col min="4" max="4" width="16.6640625" customWidth="1"/>
  </cols>
  <sheetData>
    <row r="1" spans="1:4" ht="19" x14ac:dyDescent="0.25">
      <c r="A1" s="1" t="s">
        <v>2389</v>
      </c>
    </row>
    <row r="2" spans="1:4" x14ac:dyDescent="0.2">
      <c r="A2" s="386" t="s">
        <v>2390</v>
      </c>
      <c r="B2" s="386"/>
      <c r="C2" s="386"/>
      <c r="D2" s="386"/>
    </row>
    <row r="4" spans="1:4" x14ac:dyDescent="0.2">
      <c r="A4" s="70" t="s">
        <v>2391</v>
      </c>
    </row>
    <row r="5" spans="1:4" x14ac:dyDescent="0.2">
      <c r="A5" s="157" t="s">
        <v>2392</v>
      </c>
      <c r="B5" s="370" t="s">
        <v>2393</v>
      </c>
      <c r="C5" s="370"/>
      <c r="D5" s="370"/>
    </row>
    <row r="6" spans="1:4" x14ac:dyDescent="0.2">
      <c r="A6" s="158" t="s">
        <v>2394</v>
      </c>
      <c r="B6" s="370" t="s">
        <v>2395</v>
      </c>
      <c r="C6" s="370"/>
      <c r="D6" s="370"/>
    </row>
    <row r="7" spans="1:4" x14ac:dyDescent="0.2">
      <c r="A7" s="158" t="s">
        <v>2396</v>
      </c>
      <c r="B7" s="399" t="s">
        <v>2397</v>
      </c>
      <c r="C7" s="399"/>
      <c r="D7" s="399"/>
    </row>
    <row r="8" spans="1:4" x14ac:dyDescent="0.2">
      <c r="A8" s="160" t="s">
        <v>2398</v>
      </c>
      <c r="B8" s="391" t="s">
        <v>2399</v>
      </c>
      <c r="C8" s="391"/>
      <c r="D8" s="391"/>
    </row>
    <row r="10" spans="1:4" x14ac:dyDescent="0.2">
      <c r="A10" s="2" t="s">
        <v>2400</v>
      </c>
    </row>
    <row r="11" spans="1:4" x14ac:dyDescent="0.2">
      <c r="A11" s="171" t="s">
        <v>2401</v>
      </c>
      <c r="B11" s="46" t="s">
        <v>2402</v>
      </c>
      <c r="C11" s="46" t="s">
        <v>2403</v>
      </c>
      <c r="D11" s="172" t="s">
        <v>21</v>
      </c>
    </row>
    <row r="12" spans="1:4" x14ac:dyDescent="0.2">
      <c r="A12" s="166" t="s">
        <v>2404</v>
      </c>
      <c r="B12" s="47" t="s">
        <v>2405</v>
      </c>
      <c r="C12" s="47" t="s">
        <v>2406</v>
      </c>
      <c r="D12" s="236" t="s">
        <v>1999</v>
      </c>
    </row>
    <row r="13" spans="1:4" x14ac:dyDescent="0.2">
      <c r="A13" s="166" t="s">
        <v>2407</v>
      </c>
      <c r="B13" s="47" t="s">
        <v>2408</v>
      </c>
      <c r="C13" s="47" t="s">
        <v>2409</v>
      </c>
      <c r="D13" s="236" t="s">
        <v>1999</v>
      </c>
    </row>
    <row r="14" spans="1:4" x14ac:dyDescent="0.2">
      <c r="A14" s="166" t="s">
        <v>2410</v>
      </c>
      <c r="B14" s="47" t="s">
        <v>2411</v>
      </c>
      <c r="C14" s="47" t="s">
        <v>2412</v>
      </c>
      <c r="D14" s="236" t="s">
        <v>1999</v>
      </c>
    </row>
    <row r="15" spans="1:4" x14ac:dyDescent="0.2">
      <c r="A15" s="166" t="s">
        <v>2413</v>
      </c>
      <c r="B15" s="47" t="s">
        <v>2414</v>
      </c>
      <c r="C15" s="47" t="s">
        <v>2415</v>
      </c>
      <c r="D15" s="236" t="s">
        <v>1999</v>
      </c>
    </row>
    <row r="16" spans="1:4" x14ac:dyDescent="0.2">
      <c r="A16" s="166" t="s">
        <v>2416</v>
      </c>
      <c r="B16" s="47" t="s">
        <v>2417</v>
      </c>
      <c r="C16" s="47" t="s">
        <v>2418</v>
      </c>
      <c r="D16" s="236" t="s">
        <v>1999</v>
      </c>
    </row>
    <row r="17" spans="1:4" x14ac:dyDescent="0.2">
      <c r="A17" s="166" t="s">
        <v>2419</v>
      </c>
      <c r="B17" s="47" t="s">
        <v>2420</v>
      </c>
      <c r="C17" s="47" t="s">
        <v>2421</v>
      </c>
      <c r="D17" s="236" t="s">
        <v>1999</v>
      </c>
    </row>
    <row r="19" spans="1:4" x14ac:dyDescent="0.2">
      <c r="A19" s="2" t="s">
        <v>2422</v>
      </c>
      <c r="B19" s="186" t="str">
        <f>TEXT(COUNTIF(D12:D17,"Done")/6,"0%")</f>
        <v>0%</v>
      </c>
      <c r="C19" s="212" t="str">
        <f>REPT("█",COUNTIF(D12:D17,"Done"))&amp;REPT("░",6-COUNTIF(D12:D17,"Done"))</f>
        <v>░░░░░░</v>
      </c>
    </row>
    <row r="21" spans="1:4" x14ac:dyDescent="0.2">
      <c r="A21" s="264" t="s">
        <v>2423</v>
      </c>
    </row>
    <row r="22" spans="1:4" x14ac:dyDescent="0.2">
      <c r="A22" t="s">
        <v>2424</v>
      </c>
    </row>
    <row r="23" spans="1:4" x14ac:dyDescent="0.2">
      <c r="A23" t="s">
        <v>2425</v>
      </c>
    </row>
    <row r="24" spans="1:4" x14ac:dyDescent="0.2">
      <c r="A24" t="s">
        <v>2426</v>
      </c>
    </row>
    <row r="25" spans="1:4" x14ac:dyDescent="0.2">
      <c r="A25" t="s">
        <v>2427</v>
      </c>
    </row>
    <row r="26" spans="1:4" x14ac:dyDescent="0.2">
      <c r="A26" t="s">
        <v>2428</v>
      </c>
    </row>
    <row r="27" spans="1:4" x14ac:dyDescent="0.2">
      <c r="A27" t="s">
        <v>2429</v>
      </c>
    </row>
    <row r="29" spans="1:4" x14ac:dyDescent="0.2">
      <c r="A29" s="111" t="s">
        <v>2430</v>
      </c>
    </row>
  </sheetData>
  <mergeCells count="5">
    <mergeCell ref="A2:D2"/>
    <mergeCell ref="B5:D5"/>
    <mergeCell ref="B6:D6"/>
    <mergeCell ref="B7:D7"/>
    <mergeCell ref="B8:D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1D51-D7EC-894D-8DA7-7F61540C5E46}">
  <dimension ref="A1:E26"/>
  <sheetViews>
    <sheetView workbookViewId="0">
      <pane ySplit="3" topLeftCell="A4" activePane="bottomLeft" state="frozen"/>
      <selection pane="bottomLeft" activeCell="B33" sqref="B33"/>
    </sheetView>
  </sheetViews>
  <sheetFormatPr baseColWidth="10" defaultRowHeight="24" x14ac:dyDescent="0.3"/>
  <cols>
    <col min="1" max="1" width="5.6640625" style="267" customWidth="1"/>
    <col min="2" max="2" width="38.33203125" style="267" customWidth="1"/>
    <col min="3" max="3" width="71.6640625" style="267" customWidth="1"/>
    <col min="4" max="4" width="41.6640625" style="267" customWidth="1"/>
    <col min="5" max="5" width="16.6640625" style="267" customWidth="1"/>
    <col min="6" max="16384" width="10.83203125" style="267"/>
  </cols>
  <sheetData>
    <row r="1" spans="1:5" x14ac:dyDescent="0.3">
      <c r="A1" s="266" t="s">
        <v>2431</v>
      </c>
    </row>
    <row r="2" spans="1:5" x14ac:dyDescent="0.3">
      <c r="A2" s="400" t="s">
        <v>2432</v>
      </c>
      <c r="B2" s="400"/>
      <c r="C2" s="400"/>
      <c r="D2" s="400"/>
      <c r="E2" s="400"/>
    </row>
    <row r="3" spans="1:5" x14ac:dyDescent="0.3">
      <c r="A3" s="280" t="s">
        <v>1420</v>
      </c>
      <c r="B3" s="281" t="s">
        <v>2175</v>
      </c>
      <c r="C3" s="281" t="s">
        <v>2433</v>
      </c>
      <c r="D3" s="281" t="s">
        <v>2434</v>
      </c>
      <c r="E3" s="282" t="s">
        <v>21</v>
      </c>
    </row>
    <row r="4" spans="1:5" x14ac:dyDescent="0.3">
      <c r="A4" s="270" t="s">
        <v>2435</v>
      </c>
      <c r="B4" s="271" t="s">
        <v>2436</v>
      </c>
      <c r="C4" s="272"/>
      <c r="D4" s="272"/>
      <c r="E4" s="273"/>
    </row>
    <row r="5" spans="1:5" x14ac:dyDescent="0.3">
      <c r="A5" s="274">
        <v>1</v>
      </c>
      <c r="B5" s="272" t="s">
        <v>2437</v>
      </c>
      <c r="C5" s="272" t="s">
        <v>2438</v>
      </c>
      <c r="D5" s="272" t="s">
        <v>2439</v>
      </c>
      <c r="E5" s="275" t="s">
        <v>1999</v>
      </c>
    </row>
    <row r="6" spans="1:5" x14ac:dyDescent="0.3">
      <c r="A6" s="274">
        <v>2</v>
      </c>
      <c r="B6" s="272" t="s">
        <v>2440</v>
      </c>
      <c r="C6" s="272" t="s">
        <v>2441</v>
      </c>
      <c r="D6" s="272" t="s">
        <v>2442</v>
      </c>
      <c r="E6" s="275" t="s">
        <v>1999</v>
      </c>
    </row>
    <row r="7" spans="1:5" x14ac:dyDescent="0.3">
      <c r="A7" s="274">
        <v>3</v>
      </c>
      <c r="B7" s="272" t="s">
        <v>2443</v>
      </c>
      <c r="C7" s="272" t="s">
        <v>2444</v>
      </c>
      <c r="D7" s="272" t="s">
        <v>2445</v>
      </c>
      <c r="E7" s="275" t="s">
        <v>1999</v>
      </c>
    </row>
    <row r="8" spans="1:5" x14ac:dyDescent="0.3">
      <c r="A8" s="274">
        <v>4</v>
      </c>
      <c r="B8" s="272" t="s">
        <v>2446</v>
      </c>
      <c r="C8" s="272" t="s">
        <v>2447</v>
      </c>
      <c r="D8" s="272" t="s">
        <v>2448</v>
      </c>
      <c r="E8" s="275" t="s">
        <v>1999</v>
      </c>
    </row>
    <row r="9" spans="1:5" x14ac:dyDescent="0.3">
      <c r="A9" s="274">
        <v>5</v>
      </c>
      <c r="B9" s="272" t="s">
        <v>2449</v>
      </c>
      <c r="C9" s="272" t="s">
        <v>2450</v>
      </c>
      <c r="D9" s="272" t="s">
        <v>2451</v>
      </c>
      <c r="E9" s="275" t="s">
        <v>1999</v>
      </c>
    </row>
    <row r="10" spans="1:5" x14ac:dyDescent="0.3">
      <c r="A10" s="270" t="s">
        <v>2452</v>
      </c>
      <c r="B10" s="271" t="s">
        <v>2453</v>
      </c>
      <c r="C10" s="272"/>
      <c r="D10" s="272"/>
      <c r="E10" s="273"/>
    </row>
    <row r="11" spans="1:5" x14ac:dyDescent="0.3">
      <c r="A11" s="274">
        <v>6</v>
      </c>
      <c r="B11" s="272" t="s">
        <v>2189</v>
      </c>
      <c r="C11" s="272" t="s">
        <v>2454</v>
      </c>
      <c r="D11" s="272" t="s">
        <v>2455</v>
      </c>
      <c r="E11" s="275" t="s">
        <v>1999</v>
      </c>
    </row>
    <row r="12" spans="1:5" x14ac:dyDescent="0.3">
      <c r="A12" s="274">
        <v>7</v>
      </c>
      <c r="B12" s="272" t="s">
        <v>2456</v>
      </c>
      <c r="C12" s="272" t="s">
        <v>2457</v>
      </c>
      <c r="D12" s="272" t="s">
        <v>2458</v>
      </c>
      <c r="E12" s="275" t="s">
        <v>1999</v>
      </c>
    </row>
    <row r="13" spans="1:5" x14ac:dyDescent="0.3">
      <c r="A13" s="274">
        <v>8</v>
      </c>
      <c r="B13" s="272" t="s">
        <v>2459</v>
      </c>
      <c r="C13" s="272" t="s">
        <v>2460</v>
      </c>
      <c r="D13" s="272" t="s">
        <v>2461</v>
      </c>
      <c r="E13" s="275" t="s">
        <v>1999</v>
      </c>
    </row>
    <row r="14" spans="1:5" x14ac:dyDescent="0.3">
      <c r="A14" s="274">
        <v>9</v>
      </c>
      <c r="B14" s="272" t="s">
        <v>2462</v>
      </c>
      <c r="C14" s="272" t="s">
        <v>2463</v>
      </c>
      <c r="D14" s="272" t="s">
        <v>2464</v>
      </c>
      <c r="E14" s="275" t="s">
        <v>1999</v>
      </c>
    </row>
    <row r="15" spans="1:5" x14ac:dyDescent="0.3">
      <c r="A15" s="276" t="s">
        <v>2465</v>
      </c>
      <c r="B15" s="277" t="s">
        <v>2466</v>
      </c>
      <c r="C15" s="272"/>
      <c r="D15" s="272"/>
      <c r="E15" s="273"/>
    </row>
    <row r="16" spans="1:5" x14ac:dyDescent="0.3">
      <c r="A16" s="274">
        <v>10</v>
      </c>
      <c r="B16" s="272" t="s">
        <v>2467</v>
      </c>
      <c r="C16" s="272" t="s">
        <v>2468</v>
      </c>
      <c r="D16" s="272" t="s">
        <v>2469</v>
      </c>
      <c r="E16" s="275" t="s">
        <v>1999</v>
      </c>
    </row>
    <row r="17" spans="1:5" x14ac:dyDescent="0.3">
      <c r="A17" s="274">
        <v>11</v>
      </c>
      <c r="B17" s="272" t="s">
        <v>2470</v>
      </c>
      <c r="C17" s="272" t="s">
        <v>2471</v>
      </c>
      <c r="D17" s="272" t="s">
        <v>2472</v>
      </c>
      <c r="E17" s="275" t="s">
        <v>1999</v>
      </c>
    </row>
    <row r="18" spans="1:5" x14ac:dyDescent="0.3">
      <c r="A18" s="270" t="s">
        <v>2473</v>
      </c>
      <c r="B18" s="271" t="s">
        <v>2474</v>
      </c>
      <c r="C18" s="272"/>
      <c r="D18" s="272"/>
      <c r="E18" s="273"/>
    </row>
    <row r="19" spans="1:5" x14ac:dyDescent="0.3">
      <c r="A19" s="274">
        <v>12</v>
      </c>
      <c r="B19" s="272" t="s">
        <v>2475</v>
      </c>
      <c r="C19" s="272" t="s">
        <v>2476</v>
      </c>
      <c r="D19" s="272" t="s">
        <v>2477</v>
      </c>
      <c r="E19" s="275" t="s">
        <v>1999</v>
      </c>
    </row>
    <row r="20" spans="1:5" x14ac:dyDescent="0.3">
      <c r="A20" s="274">
        <v>13</v>
      </c>
      <c r="B20" s="272" t="s">
        <v>2478</v>
      </c>
      <c r="C20" s="272" t="s">
        <v>2479</v>
      </c>
      <c r="D20" s="272" t="s">
        <v>2480</v>
      </c>
      <c r="E20" s="275" t="s">
        <v>1999</v>
      </c>
    </row>
    <row r="21" spans="1:5" x14ac:dyDescent="0.3">
      <c r="A21" s="274">
        <v>14</v>
      </c>
      <c r="B21" s="272" t="s">
        <v>2481</v>
      </c>
      <c r="C21" s="272" t="s">
        <v>2482</v>
      </c>
      <c r="D21" s="272" t="s">
        <v>2483</v>
      </c>
      <c r="E21" s="275" t="s">
        <v>1999</v>
      </c>
    </row>
    <row r="22" spans="1:5" x14ac:dyDescent="0.3">
      <c r="A22" s="278" t="s">
        <v>2484</v>
      </c>
      <c r="B22" s="279" t="s">
        <v>2485</v>
      </c>
      <c r="C22" s="272"/>
      <c r="D22" s="272"/>
      <c r="E22" s="273"/>
    </row>
    <row r="23" spans="1:5" x14ac:dyDescent="0.3">
      <c r="A23" s="274">
        <v>15</v>
      </c>
      <c r="B23" s="272" t="s">
        <v>2486</v>
      </c>
      <c r="C23" s="272" t="s">
        <v>2487</v>
      </c>
      <c r="D23" s="272" t="s">
        <v>2488</v>
      </c>
      <c r="E23" s="275" t="s">
        <v>1999</v>
      </c>
    </row>
    <row r="24" spans="1:5" x14ac:dyDescent="0.3">
      <c r="A24" s="274">
        <v>16</v>
      </c>
      <c r="B24" s="272" t="s">
        <v>2489</v>
      </c>
      <c r="C24" s="272" t="s">
        <v>2490</v>
      </c>
      <c r="D24" s="272" t="s">
        <v>2491</v>
      </c>
      <c r="E24" s="275" t="s">
        <v>1999</v>
      </c>
    </row>
    <row r="26" spans="1:5" x14ac:dyDescent="0.3">
      <c r="A26" s="266" t="s">
        <v>2011</v>
      </c>
      <c r="B26" s="268" t="str">
        <f>TEXT(COUNTIF(E5:E24,"Done")/16,"0%")</f>
        <v>0%</v>
      </c>
      <c r="C26" s="269" t="str">
        <f>REPT("█",COUNTIF(E5:E24,"Done"))&amp;REPT("░",16-COUNTIF(E5:E24,"Done"))</f>
        <v>░░░░░░░░░░░░░░░░</v>
      </c>
      <c r="D26" s="267" t="str">
        <f>COUNTIF(E5:E24,"Done")&amp;" of 16 done"</f>
        <v>0 of 16 done</v>
      </c>
    </row>
  </sheetData>
  <mergeCells count="1">
    <mergeCell ref="A2:E2"/>
  </mergeCells>
  <conditionalFormatting sqref="E5:E24">
    <cfRule type="containsText" dxfId="21" priority="1" stopIfTrue="1" operator="containsText" text="Done">
      <formula>NOT(ISERROR(SEARCH("Done",E5)))</formula>
    </cfRule>
    <cfRule type="containsText" dxfId="20" priority="2" stopIfTrue="1" operator="containsText" text="Not started">
      <formula>NOT(ISERROR(SEARCH("Not started",E5)))</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7E4AD-6158-AC4F-8B6A-D4B74D650A91}">
  <dimension ref="A1:D47"/>
  <sheetViews>
    <sheetView workbookViewId="0">
      <pane ySplit="3" topLeftCell="A4" activePane="bottomLeft" state="frozen"/>
      <selection pane="bottomLeft" sqref="A1:D1"/>
    </sheetView>
  </sheetViews>
  <sheetFormatPr baseColWidth="10" defaultRowHeight="16" x14ac:dyDescent="0.2"/>
  <cols>
    <col min="1" max="1" width="33.33203125" customWidth="1"/>
    <col min="2" max="2" width="15.83203125" customWidth="1"/>
    <col min="3" max="3" width="14.1640625" customWidth="1"/>
    <col min="4" max="4" width="53.33203125" customWidth="1"/>
  </cols>
  <sheetData>
    <row r="1" spans="1:4" ht="19" x14ac:dyDescent="0.25">
      <c r="A1" s="396" t="s">
        <v>2492</v>
      </c>
      <c r="B1" s="396"/>
      <c r="C1" s="396"/>
      <c r="D1" s="396"/>
    </row>
    <row r="2" spans="1:4" x14ac:dyDescent="0.2">
      <c r="A2" s="386" t="s">
        <v>2493</v>
      </c>
      <c r="B2" s="386"/>
      <c r="C2" s="386"/>
      <c r="D2" s="386"/>
    </row>
    <row r="3" spans="1:4" x14ac:dyDescent="0.2">
      <c r="A3" s="401" t="s">
        <v>2494</v>
      </c>
      <c r="B3" s="401"/>
      <c r="C3" s="401"/>
      <c r="D3" s="401"/>
    </row>
    <row r="5" spans="1:4" x14ac:dyDescent="0.2">
      <c r="A5" s="173" t="s">
        <v>2495</v>
      </c>
      <c r="B5" s="157"/>
    </row>
    <row r="6" spans="1:4" x14ac:dyDescent="0.2">
      <c r="A6" s="158" t="s">
        <v>2496</v>
      </c>
      <c r="B6" s="219">
        <v>36</v>
      </c>
    </row>
    <row r="7" spans="1:4" x14ac:dyDescent="0.2">
      <c r="A7" s="158" t="s">
        <v>2497</v>
      </c>
      <c r="B7" s="209">
        <v>4</v>
      </c>
    </row>
    <row r="8" spans="1:4" x14ac:dyDescent="0.2">
      <c r="A8" s="158" t="s">
        <v>2498</v>
      </c>
      <c r="B8" s="197">
        <v>20</v>
      </c>
    </row>
    <row r="9" spans="1:4" x14ac:dyDescent="0.2">
      <c r="A9" s="160" t="s">
        <v>2499</v>
      </c>
      <c r="B9" s="245">
        <v>12</v>
      </c>
    </row>
    <row r="11" spans="1:4" x14ac:dyDescent="0.2">
      <c r="A11" s="163" t="s">
        <v>2500</v>
      </c>
      <c r="B11" s="164" t="s">
        <v>21</v>
      </c>
      <c r="C11" s="164" t="s">
        <v>2501</v>
      </c>
      <c r="D11" s="165" t="s">
        <v>2502</v>
      </c>
    </row>
    <row r="12" spans="1:4" x14ac:dyDescent="0.2">
      <c r="A12" s="166" t="s">
        <v>1882</v>
      </c>
      <c r="B12" s="47" t="s">
        <v>1890</v>
      </c>
      <c r="C12" s="211" t="s">
        <v>2503</v>
      </c>
      <c r="D12" s="167" t="s">
        <v>2504</v>
      </c>
    </row>
    <row r="13" spans="1:4" x14ac:dyDescent="0.2">
      <c r="A13" s="166" t="s">
        <v>1888</v>
      </c>
      <c r="B13" s="47" t="s">
        <v>1890</v>
      </c>
      <c r="C13" s="211" t="s">
        <v>2503</v>
      </c>
      <c r="D13" s="167" t="s">
        <v>1889</v>
      </c>
    </row>
    <row r="14" spans="1:4" x14ac:dyDescent="0.2">
      <c r="A14" s="166" t="s">
        <v>2505</v>
      </c>
      <c r="B14" s="47" t="s">
        <v>1890</v>
      </c>
      <c r="C14" s="211" t="s">
        <v>2503</v>
      </c>
      <c r="D14" s="167" t="s">
        <v>2506</v>
      </c>
    </row>
    <row r="15" spans="1:4" x14ac:dyDescent="0.2">
      <c r="A15" s="166" t="s">
        <v>2507</v>
      </c>
      <c r="B15" s="47" t="s">
        <v>1890</v>
      </c>
      <c r="C15" s="211" t="s">
        <v>2503</v>
      </c>
      <c r="D15" s="167" t="s">
        <v>2522</v>
      </c>
    </row>
    <row r="16" spans="1:4" x14ac:dyDescent="0.2">
      <c r="A16" s="166" t="s">
        <v>2404</v>
      </c>
      <c r="B16" s="47" t="s">
        <v>1890</v>
      </c>
      <c r="C16" s="202" t="s">
        <v>2508</v>
      </c>
      <c r="D16" s="167" t="s">
        <v>2509</v>
      </c>
    </row>
    <row r="17" spans="1:4" x14ac:dyDescent="0.2">
      <c r="A17" s="166" t="s">
        <v>2510</v>
      </c>
      <c r="B17" s="47" t="s">
        <v>1890</v>
      </c>
      <c r="C17" s="202" t="s">
        <v>2508</v>
      </c>
      <c r="D17" s="167" t="s">
        <v>2511</v>
      </c>
    </row>
    <row r="18" spans="1:4" x14ac:dyDescent="0.2">
      <c r="A18" s="166" t="s">
        <v>2512</v>
      </c>
      <c r="B18" s="47" t="s">
        <v>1890</v>
      </c>
      <c r="C18" s="202" t="s">
        <v>2508</v>
      </c>
      <c r="D18" s="167" t="s">
        <v>2513</v>
      </c>
    </row>
    <row r="19" spans="1:4" x14ac:dyDescent="0.2">
      <c r="A19" s="166" t="s">
        <v>2514</v>
      </c>
      <c r="B19" s="47" t="s">
        <v>1890</v>
      </c>
      <c r="C19" s="202" t="s">
        <v>2508</v>
      </c>
      <c r="D19" s="167" t="s">
        <v>2515</v>
      </c>
    </row>
    <row r="20" spans="1:4" x14ac:dyDescent="0.2">
      <c r="A20" s="166" t="s">
        <v>2516</v>
      </c>
      <c r="B20" s="47" t="s">
        <v>1890</v>
      </c>
      <c r="C20" s="202" t="s">
        <v>2508</v>
      </c>
      <c r="D20" s="167" t="s">
        <v>2517</v>
      </c>
    </row>
    <row r="21" spans="1:4" x14ac:dyDescent="0.2">
      <c r="A21" s="166" t="s">
        <v>2518</v>
      </c>
      <c r="B21" s="47" t="s">
        <v>1890</v>
      </c>
      <c r="C21" s="202" t="s">
        <v>2508</v>
      </c>
      <c r="D21" s="167" t="s">
        <v>2519</v>
      </c>
    </row>
    <row r="22" spans="1:4" x14ac:dyDescent="0.2">
      <c r="A22" s="166" t="s">
        <v>2520</v>
      </c>
      <c r="B22" s="47" t="s">
        <v>1890</v>
      </c>
      <c r="C22" s="202" t="s">
        <v>2508</v>
      </c>
      <c r="D22" s="167" t="s">
        <v>2521</v>
      </c>
    </row>
    <row r="23" spans="1:4" x14ac:dyDescent="0.2">
      <c r="A23" s="166" t="s">
        <v>2523</v>
      </c>
      <c r="B23" s="47" t="s">
        <v>1890</v>
      </c>
      <c r="C23" s="202" t="s">
        <v>2508</v>
      </c>
      <c r="D23" s="167" t="s">
        <v>2524</v>
      </c>
    </row>
    <row r="24" spans="1:4" x14ac:dyDescent="0.2">
      <c r="A24" s="166" t="s">
        <v>2525</v>
      </c>
      <c r="B24" s="47" t="s">
        <v>1890</v>
      </c>
      <c r="C24" s="202" t="s">
        <v>2508</v>
      </c>
      <c r="D24" s="167" t="s">
        <v>2526</v>
      </c>
    </row>
    <row r="25" spans="1:4" x14ac:dyDescent="0.2">
      <c r="A25" s="166" t="s">
        <v>2527</v>
      </c>
      <c r="B25" s="47" t="s">
        <v>1890</v>
      </c>
      <c r="C25" s="202" t="s">
        <v>2508</v>
      </c>
      <c r="D25" s="167" t="s">
        <v>2528</v>
      </c>
    </row>
    <row r="26" spans="1:4" x14ac:dyDescent="0.2">
      <c r="A26" s="166" t="s">
        <v>2529</v>
      </c>
      <c r="B26" s="47" t="s">
        <v>1890</v>
      </c>
      <c r="C26" s="202" t="s">
        <v>2508</v>
      </c>
      <c r="D26" s="167" t="s">
        <v>2530</v>
      </c>
    </row>
    <row r="27" spans="1:4" x14ac:dyDescent="0.2">
      <c r="A27" s="166" t="s">
        <v>2531</v>
      </c>
      <c r="B27" s="47" t="s">
        <v>1890</v>
      </c>
      <c r="C27" s="202" t="s">
        <v>2508</v>
      </c>
      <c r="D27" s="167" t="s">
        <v>2532</v>
      </c>
    </row>
    <row r="28" spans="1:4" x14ac:dyDescent="0.2">
      <c r="A28" s="166" t="s">
        <v>2533</v>
      </c>
      <c r="B28" s="47" t="s">
        <v>1890</v>
      </c>
      <c r="C28" s="202" t="s">
        <v>2508</v>
      </c>
      <c r="D28" s="167" t="s">
        <v>2534</v>
      </c>
    </row>
    <row r="29" spans="1:4" x14ac:dyDescent="0.2">
      <c r="A29" s="166" t="s">
        <v>2535</v>
      </c>
      <c r="B29" s="47" t="s">
        <v>1890</v>
      </c>
      <c r="C29" s="202" t="s">
        <v>2508</v>
      </c>
      <c r="D29" s="167" t="s">
        <v>2536</v>
      </c>
    </row>
    <row r="30" spans="1:4" x14ac:dyDescent="0.2">
      <c r="A30" s="166" t="s">
        <v>2537</v>
      </c>
      <c r="B30" s="47" t="s">
        <v>1890</v>
      </c>
      <c r="C30" s="202" t="s">
        <v>2508</v>
      </c>
      <c r="D30" s="167" t="s">
        <v>2538</v>
      </c>
    </row>
    <row r="31" spans="1:4" x14ac:dyDescent="0.2">
      <c r="A31" s="166" t="s">
        <v>2539</v>
      </c>
      <c r="B31" s="47" t="s">
        <v>1890</v>
      </c>
      <c r="C31" s="202" t="s">
        <v>2508</v>
      </c>
      <c r="D31" s="167" t="s">
        <v>2540</v>
      </c>
    </row>
    <row r="32" spans="1:4" x14ac:dyDescent="0.2">
      <c r="A32" s="166" t="s">
        <v>2541</v>
      </c>
      <c r="B32" s="47" t="s">
        <v>1890</v>
      </c>
      <c r="C32" s="202" t="s">
        <v>2508</v>
      </c>
      <c r="D32" s="167" t="s">
        <v>2542</v>
      </c>
    </row>
    <row r="33" spans="1:4" x14ac:dyDescent="0.2">
      <c r="A33" s="166" t="s">
        <v>2543</v>
      </c>
      <c r="B33" s="47" t="s">
        <v>1890</v>
      </c>
      <c r="C33" s="202" t="s">
        <v>2508</v>
      </c>
      <c r="D33" s="167" t="s">
        <v>2544</v>
      </c>
    </row>
    <row r="34" spans="1:4" x14ac:dyDescent="0.2">
      <c r="A34" s="166" t="s">
        <v>2545</v>
      </c>
      <c r="B34" s="47" t="s">
        <v>1890</v>
      </c>
      <c r="C34" s="202" t="s">
        <v>2508</v>
      </c>
      <c r="D34" s="167" t="s">
        <v>2546</v>
      </c>
    </row>
    <row r="35" spans="1:4" x14ac:dyDescent="0.2">
      <c r="A35" s="166" t="s">
        <v>2547</v>
      </c>
      <c r="B35" s="47" t="s">
        <v>1890</v>
      </c>
      <c r="C35" s="202" t="s">
        <v>2508</v>
      </c>
      <c r="D35" s="167" t="s">
        <v>2548</v>
      </c>
    </row>
    <row r="36" spans="1:4" x14ac:dyDescent="0.2">
      <c r="A36" s="166" t="s">
        <v>2549</v>
      </c>
      <c r="B36" s="200" t="s">
        <v>2550</v>
      </c>
      <c r="C36" s="200" t="s">
        <v>2551</v>
      </c>
      <c r="D36" s="167" t="s">
        <v>2552</v>
      </c>
    </row>
    <row r="37" spans="1:4" x14ac:dyDescent="0.2">
      <c r="A37" s="166" t="s">
        <v>2553</v>
      </c>
      <c r="B37" s="200" t="s">
        <v>2550</v>
      </c>
      <c r="C37" s="200" t="s">
        <v>2551</v>
      </c>
      <c r="D37" s="167" t="s">
        <v>2554</v>
      </c>
    </row>
    <row r="38" spans="1:4" x14ac:dyDescent="0.2">
      <c r="A38" s="166" t="s">
        <v>2555</v>
      </c>
      <c r="B38" s="200" t="s">
        <v>2550</v>
      </c>
      <c r="C38" s="200" t="s">
        <v>2551</v>
      </c>
      <c r="D38" s="167" t="s">
        <v>2556</v>
      </c>
    </row>
    <row r="39" spans="1:4" x14ac:dyDescent="0.2">
      <c r="A39" s="166" t="s">
        <v>2557</v>
      </c>
      <c r="B39" s="200" t="s">
        <v>2550</v>
      </c>
      <c r="C39" s="200" t="s">
        <v>2551</v>
      </c>
      <c r="D39" s="167" t="s">
        <v>2556</v>
      </c>
    </row>
    <row r="40" spans="1:4" x14ac:dyDescent="0.2">
      <c r="A40" s="166" t="s">
        <v>2558</v>
      </c>
      <c r="B40" s="200" t="s">
        <v>2550</v>
      </c>
      <c r="C40" s="200" t="s">
        <v>2551</v>
      </c>
      <c r="D40" s="167" t="s">
        <v>2559</v>
      </c>
    </row>
    <row r="41" spans="1:4" x14ac:dyDescent="0.2">
      <c r="A41" s="166" t="s">
        <v>2560</v>
      </c>
      <c r="B41" s="200" t="s">
        <v>2550</v>
      </c>
      <c r="C41" s="200" t="s">
        <v>2551</v>
      </c>
      <c r="D41" s="167" t="s">
        <v>2561</v>
      </c>
    </row>
    <row r="42" spans="1:4" x14ac:dyDescent="0.2">
      <c r="A42" s="166" t="s">
        <v>2562</v>
      </c>
      <c r="B42" s="200" t="s">
        <v>2550</v>
      </c>
      <c r="C42" s="200" t="s">
        <v>2551</v>
      </c>
      <c r="D42" s="167" t="s">
        <v>2563</v>
      </c>
    </row>
    <row r="43" spans="1:4" x14ac:dyDescent="0.2">
      <c r="A43" s="166" t="s">
        <v>2564</v>
      </c>
      <c r="B43" s="200" t="s">
        <v>2550</v>
      </c>
      <c r="C43" s="200" t="s">
        <v>2551</v>
      </c>
      <c r="D43" s="167" t="s">
        <v>2565</v>
      </c>
    </row>
    <row r="44" spans="1:4" x14ac:dyDescent="0.2">
      <c r="A44" s="166" t="s">
        <v>2566</v>
      </c>
      <c r="B44" s="200" t="s">
        <v>2550</v>
      </c>
      <c r="C44" s="200" t="s">
        <v>2551</v>
      </c>
      <c r="D44" s="167" t="s">
        <v>2567</v>
      </c>
    </row>
    <row r="45" spans="1:4" x14ac:dyDescent="0.2">
      <c r="A45" s="166" t="s">
        <v>2568</v>
      </c>
      <c r="B45" s="200" t="s">
        <v>2550</v>
      </c>
      <c r="C45" s="200" t="s">
        <v>2551</v>
      </c>
      <c r="D45" s="167" t="s">
        <v>2569</v>
      </c>
    </row>
    <row r="46" spans="1:4" x14ac:dyDescent="0.2">
      <c r="A46" s="166" t="s">
        <v>2570</v>
      </c>
      <c r="B46" s="200" t="s">
        <v>2550</v>
      </c>
      <c r="C46" s="200" t="s">
        <v>2551</v>
      </c>
      <c r="D46" s="167" t="s">
        <v>2571</v>
      </c>
    </row>
    <row r="47" spans="1:4" x14ac:dyDescent="0.2">
      <c r="A47" s="166" t="s">
        <v>2572</v>
      </c>
      <c r="B47" s="200" t="s">
        <v>2550</v>
      </c>
      <c r="C47" s="200" t="s">
        <v>2551</v>
      </c>
      <c r="D47" s="167" t="s">
        <v>2573</v>
      </c>
    </row>
  </sheetData>
  <mergeCells count="3">
    <mergeCell ref="A1:D1"/>
    <mergeCell ref="A2:D2"/>
    <mergeCell ref="A3:D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5D8DA-2ECF-D644-AAD5-D5C288146A80}">
  <dimension ref="A1:C35"/>
  <sheetViews>
    <sheetView workbookViewId="0">
      <pane ySplit="2" topLeftCell="A3" activePane="bottomLeft" state="frozen"/>
      <selection pane="bottomLeft"/>
    </sheetView>
  </sheetViews>
  <sheetFormatPr baseColWidth="10" defaultRowHeight="16" x14ac:dyDescent="0.2"/>
  <cols>
    <col min="1" max="1" width="35" customWidth="1"/>
    <col min="2" max="2" width="66.6640625" customWidth="1"/>
    <col min="3" max="3" width="33.33203125" customWidth="1"/>
  </cols>
  <sheetData>
    <row r="1" spans="1:3" ht="19" x14ac:dyDescent="0.25">
      <c r="A1" s="1" t="s">
        <v>2574</v>
      </c>
    </row>
    <row r="2" spans="1:3" x14ac:dyDescent="0.2">
      <c r="A2" s="386" t="s">
        <v>2575</v>
      </c>
      <c r="B2" s="386"/>
      <c r="C2" s="386"/>
    </row>
    <row r="4" spans="1:3" x14ac:dyDescent="0.2">
      <c r="A4" s="70" t="s">
        <v>2576</v>
      </c>
    </row>
    <row r="5" spans="1:3" x14ac:dyDescent="0.2">
      <c r="A5" s="163" t="s">
        <v>2577</v>
      </c>
      <c r="B5" s="164" t="s">
        <v>2392</v>
      </c>
      <c r="C5" s="165" t="s">
        <v>2578</v>
      </c>
    </row>
    <row r="6" spans="1:3" x14ac:dyDescent="0.2">
      <c r="A6" s="166" t="s">
        <v>2579</v>
      </c>
      <c r="B6" s="47" t="s">
        <v>2580</v>
      </c>
      <c r="C6" s="167" t="s">
        <v>2581</v>
      </c>
    </row>
    <row r="7" spans="1:3" x14ac:dyDescent="0.2">
      <c r="A7" s="166" t="s">
        <v>2582</v>
      </c>
      <c r="B7" s="47" t="s">
        <v>2583</v>
      </c>
      <c r="C7" s="167" t="s">
        <v>2584</v>
      </c>
    </row>
    <row r="8" spans="1:3" x14ac:dyDescent="0.2">
      <c r="A8" s="166" t="s">
        <v>2585</v>
      </c>
      <c r="B8" s="47" t="s">
        <v>2586</v>
      </c>
      <c r="C8" s="283" t="s">
        <v>2587</v>
      </c>
    </row>
    <row r="9" spans="1:3" x14ac:dyDescent="0.2">
      <c r="A9" s="166" t="s">
        <v>2588</v>
      </c>
      <c r="B9" s="47" t="s">
        <v>2589</v>
      </c>
      <c r="C9" s="167" t="s">
        <v>2590</v>
      </c>
    </row>
    <row r="10" spans="1:3" x14ac:dyDescent="0.2">
      <c r="A10" s="166" t="s">
        <v>2591</v>
      </c>
      <c r="B10" s="47" t="s">
        <v>2592</v>
      </c>
      <c r="C10" s="167" t="s">
        <v>2590</v>
      </c>
    </row>
    <row r="11" spans="1:3" x14ac:dyDescent="0.2">
      <c r="A11" s="166" t="s">
        <v>2593</v>
      </c>
      <c r="B11" s="47" t="s">
        <v>2594</v>
      </c>
      <c r="C11" s="167" t="s">
        <v>2595</v>
      </c>
    </row>
    <row r="12" spans="1:3" x14ac:dyDescent="0.2">
      <c r="A12" s="166" t="s">
        <v>2596</v>
      </c>
      <c r="B12" s="47" t="s">
        <v>2597</v>
      </c>
      <c r="C12" s="167" t="s">
        <v>2598</v>
      </c>
    </row>
    <row r="13" spans="1:3" x14ac:dyDescent="0.2">
      <c r="A13" s="166" t="s">
        <v>2599</v>
      </c>
      <c r="B13" s="47" t="s">
        <v>2600</v>
      </c>
      <c r="C13" s="283" t="s">
        <v>2601</v>
      </c>
    </row>
    <row r="14" spans="1:3" x14ac:dyDescent="0.2">
      <c r="A14" s="168" t="s">
        <v>2602</v>
      </c>
      <c r="B14" s="169" t="s">
        <v>2603</v>
      </c>
      <c r="C14" s="170" t="s">
        <v>2604</v>
      </c>
    </row>
    <row r="16" spans="1:3" x14ac:dyDescent="0.2">
      <c r="A16" s="70" t="s">
        <v>2605</v>
      </c>
    </row>
    <row r="17" spans="1:3" x14ac:dyDescent="0.2">
      <c r="A17" s="163" t="s">
        <v>1763</v>
      </c>
      <c r="B17" s="164" t="s">
        <v>2606</v>
      </c>
      <c r="C17" s="165" t="s">
        <v>2607</v>
      </c>
    </row>
    <row r="18" spans="1:3" x14ac:dyDescent="0.2">
      <c r="A18" s="226" t="s">
        <v>2608</v>
      </c>
      <c r="B18" s="47" t="s">
        <v>2609</v>
      </c>
      <c r="C18" s="284" t="s">
        <v>2610</v>
      </c>
    </row>
    <row r="19" spans="1:3" x14ac:dyDescent="0.2">
      <c r="A19" s="166" t="s">
        <v>2535</v>
      </c>
      <c r="B19" s="47" t="s">
        <v>2611</v>
      </c>
      <c r="C19" s="261" t="s">
        <v>2612</v>
      </c>
    </row>
    <row r="20" spans="1:3" x14ac:dyDescent="0.2">
      <c r="A20" s="166" t="s">
        <v>2613</v>
      </c>
      <c r="B20" s="47" t="s">
        <v>2614</v>
      </c>
      <c r="C20" s="261" t="s">
        <v>2615</v>
      </c>
    </row>
    <row r="21" spans="1:3" x14ac:dyDescent="0.2">
      <c r="A21" s="166" t="s">
        <v>2616</v>
      </c>
      <c r="B21" s="47" t="s">
        <v>2617</v>
      </c>
      <c r="C21" s="285" t="s">
        <v>2618</v>
      </c>
    </row>
    <row r="22" spans="1:3" x14ac:dyDescent="0.2">
      <c r="A22" s="168" t="s">
        <v>2619</v>
      </c>
      <c r="B22" s="169" t="s">
        <v>2620</v>
      </c>
      <c r="C22" s="286" t="s">
        <v>2621</v>
      </c>
    </row>
    <row r="24" spans="1:3" x14ac:dyDescent="0.2">
      <c r="A24" s="70" t="s">
        <v>2622</v>
      </c>
    </row>
    <row r="25" spans="1:3" x14ac:dyDescent="0.2">
      <c r="A25" s="157" t="s">
        <v>2623</v>
      </c>
      <c r="B25" s="157" t="s">
        <v>2624</v>
      </c>
    </row>
    <row r="26" spans="1:3" x14ac:dyDescent="0.2">
      <c r="A26" s="158" t="s">
        <v>1483</v>
      </c>
      <c r="B26" s="158" t="s">
        <v>2625</v>
      </c>
    </row>
    <row r="27" spans="1:3" x14ac:dyDescent="0.2">
      <c r="A27" s="158" t="s">
        <v>1492</v>
      </c>
      <c r="B27" s="158" t="s">
        <v>2626</v>
      </c>
    </row>
    <row r="28" spans="1:3" x14ac:dyDescent="0.2">
      <c r="A28" s="158" t="s">
        <v>2627</v>
      </c>
      <c r="B28" s="158" t="s">
        <v>2628</v>
      </c>
    </row>
    <row r="29" spans="1:3" x14ac:dyDescent="0.2">
      <c r="A29" s="158" t="s">
        <v>2629</v>
      </c>
      <c r="B29" s="158" t="s">
        <v>2630</v>
      </c>
    </row>
    <row r="30" spans="1:3" x14ac:dyDescent="0.2">
      <c r="A30" s="160" t="s">
        <v>2631</v>
      </c>
      <c r="B30" s="160" t="s">
        <v>2632</v>
      </c>
    </row>
    <row r="32" spans="1:3" x14ac:dyDescent="0.2">
      <c r="A32" s="19" t="s">
        <v>2633</v>
      </c>
    </row>
    <row r="33" spans="1:2" x14ac:dyDescent="0.2">
      <c r="A33" s="287" t="s">
        <v>2634</v>
      </c>
      <c r="B33" s="157" t="s">
        <v>2635</v>
      </c>
    </row>
    <row r="34" spans="1:2" x14ac:dyDescent="0.2">
      <c r="A34" s="158" t="s">
        <v>2636</v>
      </c>
      <c r="B34" s="254" t="s">
        <v>2637</v>
      </c>
    </row>
    <row r="35" spans="1:2" x14ac:dyDescent="0.2">
      <c r="A35" s="288" t="s">
        <v>2638</v>
      </c>
      <c r="B35" s="289" t="s">
        <v>2639</v>
      </c>
    </row>
  </sheetData>
  <mergeCells count="1">
    <mergeCell ref="A2:C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93B48-4119-3449-A93B-71B1886ECA85}">
  <dimension ref="A1:D41"/>
  <sheetViews>
    <sheetView workbookViewId="0">
      <pane ySplit="2" topLeftCell="A3" activePane="bottomLeft" state="frozen"/>
      <selection pane="bottomLeft"/>
    </sheetView>
  </sheetViews>
  <sheetFormatPr baseColWidth="10" defaultRowHeight="16" x14ac:dyDescent="0.2"/>
  <cols>
    <col min="1" max="1" width="31.6640625" customWidth="1"/>
    <col min="2" max="2" width="70" customWidth="1"/>
    <col min="3" max="3" width="40" customWidth="1"/>
    <col min="4" max="4" width="18.33203125" customWidth="1"/>
  </cols>
  <sheetData>
    <row r="1" spans="1:4" ht="19" x14ac:dyDescent="0.25">
      <c r="A1" s="1" t="s">
        <v>2640</v>
      </c>
    </row>
    <row r="2" spans="1:4" x14ac:dyDescent="0.2">
      <c r="A2" s="386" t="s">
        <v>2641</v>
      </c>
      <c r="B2" s="386"/>
      <c r="C2" s="386"/>
      <c r="D2" s="386"/>
    </row>
    <row r="4" spans="1:4" x14ac:dyDescent="0.2">
      <c r="A4" s="70" t="s">
        <v>2642</v>
      </c>
    </row>
    <row r="5" spans="1:4" x14ac:dyDescent="0.2">
      <c r="A5" s="163" t="s">
        <v>2643</v>
      </c>
      <c r="B5" s="164" t="s">
        <v>2644</v>
      </c>
      <c r="C5" s="165" t="s">
        <v>21</v>
      </c>
    </row>
    <row r="6" spans="1:4" x14ac:dyDescent="0.2">
      <c r="A6" s="166" t="s">
        <v>2645</v>
      </c>
      <c r="B6" s="47" t="s">
        <v>2646</v>
      </c>
      <c r="C6" s="167" t="s">
        <v>2647</v>
      </c>
    </row>
    <row r="7" spans="1:4" x14ac:dyDescent="0.2">
      <c r="A7" s="166" t="s">
        <v>1790</v>
      </c>
      <c r="B7" s="47" t="s">
        <v>2648</v>
      </c>
      <c r="C7" s="167" t="s">
        <v>2649</v>
      </c>
    </row>
    <row r="8" spans="1:4" x14ac:dyDescent="0.2">
      <c r="A8" s="166" t="s">
        <v>2650</v>
      </c>
      <c r="B8" s="47" t="s">
        <v>2651</v>
      </c>
      <c r="C8" s="167" t="s">
        <v>2652</v>
      </c>
    </row>
    <row r="9" spans="1:4" x14ac:dyDescent="0.2">
      <c r="A9" s="166" t="s">
        <v>2653</v>
      </c>
      <c r="B9" s="47" t="s">
        <v>2654</v>
      </c>
      <c r="C9" s="167" t="s">
        <v>2655</v>
      </c>
    </row>
    <row r="10" spans="1:4" x14ac:dyDescent="0.2">
      <c r="A10" s="166" t="s">
        <v>2656</v>
      </c>
      <c r="B10" s="47" t="s">
        <v>2657</v>
      </c>
      <c r="C10" s="167" t="s">
        <v>2655</v>
      </c>
    </row>
    <row r="11" spans="1:4" x14ac:dyDescent="0.2">
      <c r="A11" s="166" t="s">
        <v>2658</v>
      </c>
      <c r="B11" s="47" t="s">
        <v>2659</v>
      </c>
      <c r="C11" s="167" t="s">
        <v>2660</v>
      </c>
    </row>
    <row r="12" spans="1:4" x14ac:dyDescent="0.2">
      <c r="A12" s="168" t="s">
        <v>2661</v>
      </c>
      <c r="B12" s="169" t="s">
        <v>2662</v>
      </c>
      <c r="C12" s="170" t="s">
        <v>2663</v>
      </c>
    </row>
    <row r="14" spans="1:4" x14ac:dyDescent="0.2">
      <c r="A14" s="70" t="s">
        <v>2664</v>
      </c>
    </row>
    <row r="15" spans="1:4" x14ac:dyDescent="0.2">
      <c r="A15" s="163" t="s">
        <v>2665</v>
      </c>
      <c r="B15" s="164" t="s">
        <v>2288</v>
      </c>
      <c r="C15" s="164" t="s">
        <v>2666</v>
      </c>
      <c r="D15" s="165" t="s">
        <v>2667</v>
      </c>
    </row>
    <row r="16" spans="1:4" x14ac:dyDescent="0.2">
      <c r="A16" s="166" t="s">
        <v>1483</v>
      </c>
      <c r="B16" s="47" t="s">
        <v>2668</v>
      </c>
      <c r="C16" s="47" t="s">
        <v>1894</v>
      </c>
      <c r="D16" s="247" t="s">
        <v>2669</v>
      </c>
    </row>
    <row r="17" spans="1:4" x14ac:dyDescent="0.2">
      <c r="A17" s="166" t="s">
        <v>1492</v>
      </c>
      <c r="B17" s="47" t="s">
        <v>2670</v>
      </c>
      <c r="C17" s="47" t="s">
        <v>1898</v>
      </c>
      <c r="D17" s="247" t="s">
        <v>2669</v>
      </c>
    </row>
    <row r="18" spans="1:4" x14ac:dyDescent="0.2">
      <c r="A18" s="166" t="s">
        <v>2631</v>
      </c>
      <c r="B18" s="47" t="s">
        <v>2632</v>
      </c>
      <c r="C18" s="47" t="s">
        <v>2671</v>
      </c>
      <c r="D18" s="247" t="s">
        <v>2669</v>
      </c>
    </row>
    <row r="19" spans="1:4" x14ac:dyDescent="0.2">
      <c r="A19" s="166" t="s">
        <v>2627</v>
      </c>
      <c r="B19" s="47" t="s">
        <v>2628</v>
      </c>
      <c r="C19" s="47" t="s">
        <v>2672</v>
      </c>
      <c r="D19" s="247" t="s">
        <v>2669</v>
      </c>
    </row>
    <row r="20" spans="1:4" x14ac:dyDescent="0.2">
      <c r="A20" s="166" t="s">
        <v>2629</v>
      </c>
      <c r="B20" s="47" t="s">
        <v>2630</v>
      </c>
      <c r="C20" s="47" t="s">
        <v>2671</v>
      </c>
      <c r="D20" s="247" t="s">
        <v>2669</v>
      </c>
    </row>
    <row r="21" spans="1:4" x14ac:dyDescent="0.2">
      <c r="A21" s="168" t="s">
        <v>2673</v>
      </c>
      <c r="B21" s="169" t="s">
        <v>2674</v>
      </c>
      <c r="C21" s="169" t="s">
        <v>2675</v>
      </c>
      <c r="D21" s="248" t="s">
        <v>2676</v>
      </c>
    </row>
    <row r="23" spans="1:4" x14ac:dyDescent="0.2">
      <c r="A23" s="192" t="s">
        <v>2677</v>
      </c>
    </row>
    <row r="24" spans="1:4" x14ac:dyDescent="0.2">
      <c r="A24" s="290" t="s">
        <v>2678</v>
      </c>
    </row>
    <row r="25" spans="1:4" x14ac:dyDescent="0.2">
      <c r="A25" s="157" t="s">
        <v>2679</v>
      </c>
      <c r="B25" s="157" t="s">
        <v>2680</v>
      </c>
      <c r="C25" s="157" t="s">
        <v>2681</v>
      </c>
    </row>
    <row r="26" spans="1:4" x14ac:dyDescent="0.2">
      <c r="A26" s="158" t="s">
        <v>2682</v>
      </c>
      <c r="B26" s="158" t="s">
        <v>2683</v>
      </c>
      <c r="C26" s="158" t="s">
        <v>2681</v>
      </c>
    </row>
    <row r="27" spans="1:4" x14ac:dyDescent="0.2">
      <c r="A27" s="158" t="s">
        <v>2684</v>
      </c>
      <c r="B27" s="158" t="s">
        <v>2685</v>
      </c>
      <c r="C27" s="158" t="s">
        <v>2681</v>
      </c>
    </row>
    <row r="28" spans="1:4" x14ac:dyDescent="0.2">
      <c r="A28" s="158" t="s">
        <v>2686</v>
      </c>
      <c r="B28" s="158" t="s">
        <v>2687</v>
      </c>
      <c r="C28" s="158" t="s">
        <v>2681</v>
      </c>
    </row>
    <row r="29" spans="1:4" x14ac:dyDescent="0.2">
      <c r="A29" s="160" t="s">
        <v>2688</v>
      </c>
      <c r="B29" s="160" t="s">
        <v>2689</v>
      </c>
      <c r="C29" s="160" t="s">
        <v>2681</v>
      </c>
    </row>
    <row r="31" spans="1:4" x14ac:dyDescent="0.2">
      <c r="A31" s="70" t="s">
        <v>2690</v>
      </c>
    </row>
    <row r="32" spans="1:4" x14ac:dyDescent="0.2">
      <c r="A32" s="157" t="s">
        <v>2691</v>
      </c>
      <c r="B32" s="157" t="s">
        <v>2692</v>
      </c>
    </row>
    <row r="33" spans="1:2" x14ac:dyDescent="0.2">
      <c r="A33" s="158" t="s">
        <v>2535</v>
      </c>
      <c r="B33" s="158" t="s">
        <v>2693</v>
      </c>
    </row>
    <row r="34" spans="1:2" x14ac:dyDescent="0.2">
      <c r="A34" s="158" t="s">
        <v>2694</v>
      </c>
      <c r="B34" s="158" t="s">
        <v>2695</v>
      </c>
    </row>
    <row r="35" spans="1:2" x14ac:dyDescent="0.2">
      <c r="A35" s="160" t="s">
        <v>2696</v>
      </c>
      <c r="B35" s="160" t="s">
        <v>2697</v>
      </c>
    </row>
    <row r="37" spans="1:2" x14ac:dyDescent="0.2">
      <c r="A37" s="19" t="s">
        <v>2698</v>
      </c>
    </row>
    <row r="38" spans="1:2" x14ac:dyDescent="0.2">
      <c r="A38" s="155" t="s">
        <v>2699</v>
      </c>
    </row>
    <row r="39" spans="1:2" x14ac:dyDescent="0.2">
      <c r="A39" t="s">
        <v>2700</v>
      </c>
    </row>
    <row r="40" spans="1:2" x14ac:dyDescent="0.2">
      <c r="A40" t="s">
        <v>2701</v>
      </c>
    </row>
    <row r="41" spans="1:2" x14ac:dyDescent="0.2">
      <c r="A41" t="s">
        <v>2702</v>
      </c>
    </row>
  </sheetData>
  <mergeCells count="1">
    <mergeCell ref="A2:D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3E53B-BC84-EB4C-82FD-6CB234C5665B}">
  <dimension ref="A1:C42"/>
  <sheetViews>
    <sheetView workbookViewId="0">
      <pane ySplit="2" topLeftCell="A3" activePane="bottomLeft" state="frozen"/>
      <selection pane="bottomLeft"/>
    </sheetView>
  </sheetViews>
  <sheetFormatPr baseColWidth="10" defaultRowHeight="16" x14ac:dyDescent="0.2"/>
  <cols>
    <col min="1" max="1" width="31.6640625" customWidth="1"/>
    <col min="2" max="2" width="78.33203125" customWidth="1"/>
    <col min="3" max="3" width="23.33203125" customWidth="1"/>
  </cols>
  <sheetData>
    <row r="1" spans="1:3" ht="19" x14ac:dyDescent="0.25">
      <c r="A1" s="1" t="s">
        <v>2754</v>
      </c>
    </row>
    <row r="2" spans="1:3" x14ac:dyDescent="0.2">
      <c r="A2" s="386" t="s">
        <v>2755</v>
      </c>
      <c r="B2" s="386"/>
      <c r="C2" s="386"/>
    </row>
    <row r="4" spans="1:3" x14ac:dyDescent="0.2">
      <c r="A4" s="2" t="s">
        <v>2756</v>
      </c>
    </row>
    <row r="5" spans="1:3" x14ac:dyDescent="0.2">
      <c r="A5" s="403" t="s">
        <v>2757</v>
      </c>
      <c r="B5" s="404"/>
      <c r="C5" s="404"/>
    </row>
    <row r="6" spans="1:3" x14ac:dyDescent="0.2">
      <c r="A6" t="s">
        <v>2758</v>
      </c>
      <c r="B6" s="370" t="s">
        <v>2759</v>
      </c>
      <c r="C6" s="370"/>
    </row>
    <row r="7" spans="1:3" x14ac:dyDescent="0.2">
      <c r="A7" t="s">
        <v>2760</v>
      </c>
      <c r="B7" s="370" t="s">
        <v>2761</v>
      </c>
      <c r="C7" s="370"/>
    </row>
    <row r="8" spans="1:3" x14ac:dyDescent="0.2">
      <c r="A8" t="s">
        <v>2762</v>
      </c>
      <c r="B8" s="370" t="s">
        <v>2763</v>
      </c>
      <c r="C8" s="370"/>
    </row>
    <row r="9" spans="1:3" x14ac:dyDescent="0.2">
      <c r="A9" s="213" t="s">
        <v>2764</v>
      </c>
      <c r="B9" s="405" t="s">
        <v>2765</v>
      </c>
      <c r="C9" s="405"/>
    </row>
    <row r="11" spans="1:3" x14ac:dyDescent="0.2">
      <c r="A11" s="2" t="s">
        <v>2766</v>
      </c>
    </row>
    <row r="12" spans="1:3" x14ac:dyDescent="0.2">
      <c r="A12" s="174" t="s">
        <v>2288</v>
      </c>
      <c r="B12" s="257" t="s">
        <v>2767</v>
      </c>
      <c r="C12" s="258" t="s">
        <v>21</v>
      </c>
    </row>
    <row r="13" spans="1:3" x14ac:dyDescent="0.2">
      <c r="A13" s="166" t="s">
        <v>2645</v>
      </c>
      <c r="B13" s="47" t="s">
        <v>2768</v>
      </c>
      <c r="C13" s="260" t="s">
        <v>2769</v>
      </c>
    </row>
    <row r="14" spans="1:3" x14ac:dyDescent="0.2">
      <c r="A14" s="166" t="s">
        <v>1790</v>
      </c>
      <c r="B14" s="47" t="s">
        <v>2770</v>
      </c>
      <c r="C14" s="260" t="s">
        <v>2771</v>
      </c>
    </row>
    <row r="15" spans="1:3" x14ac:dyDescent="0.2">
      <c r="A15" s="166" t="s">
        <v>2656</v>
      </c>
      <c r="B15" s="47" t="s">
        <v>2772</v>
      </c>
      <c r="C15" s="167" t="s">
        <v>2771</v>
      </c>
    </row>
    <row r="16" spans="1:3" x14ac:dyDescent="0.2">
      <c r="A16" s="166" t="s">
        <v>2650</v>
      </c>
      <c r="B16" s="47" t="s">
        <v>2773</v>
      </c>
      <c r="C16" s="261" t="s">
        <v>2774</v>
      </c>
    </row>
    <row r="17" spans="1:3" x14ac:dyDescent="0.2">
      <c r="A17" s="166" t="s">
        <v>2653</v>
      </c>
      <c r="B17" s="47" t="s">
        <v>2775</v>
      </c>
      <c r="C17" s="261" t="s">
        <v>2774</v>
      </c>
    </row>
    <row r="18" spans="1:3" x14ac:dyDescent="0.2">
      <c r="A18" s="166" t="s">
        <v>2776</v>
      </c>
      <c r="B18" s="47" t="s">
        <v>2777</v>
      </c>
      <c r="C18" s="261" t="s">
        <v>2778</v>
      </c>
    </row>
    <row r="19" spans="1:3" x14ac:dyDescent="0.2">
      <c r="A19" s="166" t="s">
        <v>2779</v>
      </c>
      <c r="B19" s="47" t="s">
        <v>2780</v>
      </c>
      <c r="C19" s="247" t="s">
        <v>2669</v>
      </c>
    </row>
    <row r="20" spans="1:3" x14ac:dyDescent="0.2">
      <c r="A20" s="168" t="s">
        <v>2781</v>
      </c>
      <c r="B20" s="169" t="s">
        <v>2782</v>
      </c>
      <c r="C20" s="248" t="s">
        <v>2669</v>
      </c>
    </row>
    <row r="22" spans="1:3" x14ac:dyDescent="0.2">
      <c r="A22" s="2" t="s">
        <v>2783</v>
      </c>
    </row>
    <row r="23" spans="1:3" x14ac:dyDescent="0.2">
      <c r="A23" s="157" t="s">
        <v>2784</v>
      </c>
      <c r="B23" s="157" t="s">
        <v>2785</v>
      </c>
      <c r="C23" s="291" t="s">
        <v>2786</v>
      </c>
    </row>
    <row r="24" spans="1:3" x14ac:dyDescent="0.2">
      <c r="A24" s="158" t="s">
        <v>2787</v>
      </c>
      <c r="B24" s="158" t="s">
        <v>2788</v>
      </c>
      <c r="C24" s="195" t="s">
        <v>2789</v>
      </c>
    </row>
    <row r="25" spans="1:3" x14ac:dyDescent="0.2">
      <c r="A25" s="158" t="s">
        <v>2790</v>
      </c>
      <c r="B25" s="158" t="s">
        <v>2791</v>
      </c>
      <c r="C25" s="195" t="s">
        <v>2789</v>
      </c>
    </row>
    <row r="26" spans="1:3" x14ac:dyDescent="0.2">
      <c r="A26" s="160" t="s">
        <v>2792</v>
      </c>
      <c r="B26" s="160" t="s">
        <v>2793</v>
      </c>
      <c r="C26" s="292" t="s">
        <v>2794</v>
      </c>
    </row>
    <row r="28" spans="1:3" x14ac:dyDescent="0.2">
      <c r="A28" s="2" t="s">
        <v>2795</v>
      </c>
    </row>
    <row r="29" spans="1:3" x14ac:dyDescent="0.2">
      <c r="A29" s="293" t="s">
        <v>2796</v>
      </c>
      <c r="B29" s="294" t="s">
        <v>2797</v>
      </c>
      <c r="C29" s="175" t="s">
        <v>2508</v>
      </c>
    </row>
    <row r="30" spans="1:3" x14ac:dyDescent="0.2">
      <c r="A30" s="166" t="s">
        <v>2798</v>
      </c>
      <c r="B30" s="47" t="s">
        <v>2799</v>
      </c>
      <c r="C30" s="167" t="s">
        <v>2800</v>
      </c>
    </row>
    <row r="31" spans="1:3" x14ac:dyDescent="0.2">
      <c r="A31" s="166" t="s">
        <v>2691</v>
      </c>
      <c r="B31" s="47" t="s">
        <v>2801</v>
      </c>
      <c r="C31" s="261" t="s">
        <v>2802</v>
      </c>
    </row>
    <row r="32" spans="1:3" x14ac:dyDescent="0.2">
      <c r="A32" s="166" t="s">
        <v>2510</v>
      </c>
      <c r="B32" s="47" t="s">
        <v>2803</v>
      </c>
      <c r="C32" s="295" t="s">
        <v>2804</v>
      </c>
    </row>
    <row r="33" spans="1:3" x14ac:dyDescent="0.2">
      <c r="A33" s="166" t="s">
        <v>2359</v>
      </c>
      <c r="B33" s="47" t="s">
        <v>2805</v>
      </c>
      <c r="C33" s="296" t="s">
        <v>2806</v>
      </c>
    </row>
    <row r="34" spans="1:3" x14ac:dyDescent="0.2">
      <c r="A34" s="166" t="s">
        <v>2807</v>
      </c>
      <c r="B34" s="47" t="s">
        <v>2808</v>
      </c>
      <c r="C34" s="260" t="s">
        <v>2809</v>
      </c>
    </row>
    <row r="35" spans="1:3" x14ac:dyDescent="0.2">
      <c r="A35" s="166" t="s">
        <v>2404</v>
      </c>
      <c r="B35" s="47" t="s">
        <v>2810</v>
      </c>
      <c r="C35" s="295" t="s">
        <v>2811</v>
      </c>
    </row>
    <row r="36" spans="1:3" x14ac:dyDescent="0.2">
      <c r="A36" s="168" t="s">
        <v>2407</v>
      </c>
      <c r="B36" s="169" t="s">
        <v>2812</v>
      </c>
      <c r="C36" s="170" t="s">
        <v>2813</v>
      </c>
    </row>
    <row r="38" spans="1:3" x14ac:dyDescent="0.2">
      <c r="A38" s="19" t="s">
        <v>2814</v>
      </c>
    </row>
    <row r="39" spans="1:3" x14ac:dyDescent="0.2">
      <c r="A39" s="375" t="s">
        <v>2815</v>
      </c>
      <c r="B39" s="376"/>
      <c r="C39" s="376"/>
    </row>
    <row r="41" spans="1:3" x14ac:dyDescent="0.2">
      <c r="A41" s="13" t="s">
        <v>2816</v>
      </c>
      <c r="B41" s="402" t="s">
        <v>2817</v>
      </c>
      <c r="C41" s="402"/>
    </row>
    <row r="42" spans="1:3" x14ac:dyDescent="0.2">
      <c r="A42" s="13" t="s">
        <v>2818</v>
      </c>
      <c r="B42" s="402" t="s">
        <v>2819</v>
      </c>
      <c r="C42" s="402"/>
    </row>
  </sheetData>
  <mergeCells count="9">
    <mergeCell ref="B41:C41"/>
    <mergeCell ref="B42:C42"/>
    <mergeCell ref="A2:C2"/>
    <mergeCell ref="A5:C5"/>
    <mergeCell ref="A39:C39"/>
    <mergeCell ref="B6:C6"/>
    <mergeCell ref="B7:C7"/>
    <mergeCell ref="B8:C8"/>
    <mergeCell ref="B9:C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ACB27-50B7-0741-AF93-86CD8D8800B2}">
  <dimension ref="A1:D33"/>
  <sheetViews>
    <sheetView workbookViewId="0">
      <pane ySplit="2" topLeftCell="A3" activePane="bottomLeft" state="frozen"/>
      <selection pane="bottomLeft"/>
    </sheetView>
  </sheetViews>
  <sheetFormatPr baseColWidth="10" defaultRowHeight="16" x14ac:dyDescent="0.2"/>
  <cols>
    <col min="1" max="1" width="20" customWidth="1"/>
    <col min="2" max="2" width="86.6640625" customWidth="1"/>
    <col min="3" max="3" width="60" customWidth="1"/>
    <col min="4" max="4" width="50" customWidth="1"/>
  </cols>
  <sheetData>
    <row r="1" spans="1:4" ht="19" x14ac:dyDescent="0.25">
      <c r="A1" s="1" t="s">
        <v>2820</v>
      </c>
    </row>
    <row r="2" spans="1:4" x14ac:dyDescent="0.2">
      <c r="A2" s="386" t="s">
        <v>2821</v>
      </c>
      <c r="B2" s="386"/>
      <c r="C2" s="386"/>
      <c r="D2" s="386"/>
    </row>
    <row r="4" spans="1:4" x14ac:dyDescent="0.2">
      <c r="A4" s="2" t="s">
        <v>2822</v>
      </c>
    </row>
    <row r="5" spans="1:4" x14ac:dyDescent="0.2">
      <c r="A5" s="163" t="s">
        <v>2823</v>
      </c>
      <c r="B5" s="164" t="s">
        <v>2824</v>
      </c>
      <c r="C5" s="164" t="s">
        <v>2825</v>
      </c>
      <c r="D5" s="165" t="s">
        <v>2767</v>
      </c>
    </row>
    <row r="6" spans="1:4" x14ac:dyDescent="0.2">
      <c r="A6" s="166" t="s">
        <v>2784</v>
      </c>
      <c r="B6" s="47" t="s">
        <v>2826</v>
      </c>
      <c r="C6" s="201" t="s">
        <v>2827</v>
      </c>
      <c r="D6" s="167" t="s">
        <v>2828</v>
      </c>
    </row>
    <row r="7" spans="1:4" x14ac:dyDescent="0.2">
      <c r="A7" s="166" t="s">
        <v>2787</v>
      </c>
      <c r="B7" s="47" t="s">
        <v>2826</v>
      </c>
      <c r="C7" s="200" t="s">
        <v>2829</v>
      </c>
      <c r="D7" s="167" t="s">
        <v>2830</v>
      </c>
    </row>
    <row r="8" spans="1:4" x14ac:dyDescent="0.2">
      <c r="A8" s="166" t="s">
        <v>2790</v>
      </c>
      <c r="B8" s="47" t="s">
        <v>2826</v>
      </c>
      <c r="C8" s="200" t="s">
        <v>2831</v>
      </c>
      <c r="D8" s="167" t="s">
        <v>2832</v>
      </c>
    </row>
    <row r="9" spans="1:4" x14ac:dyDescent="0.2">
      <c r="A9" s="168" t="s">
        <v>2792</v>
      </c>
      <c r="B9" s="169" t="s">
        <v>2833</v>
      </c>
      <c r="C9" s="297" t="s">
        <v>2834</v>
      </c>
      <c r="D9" s="170" t="s">
        <v>2835</v>
      </c>
    </row>
    <row r="11" spans="1:4" x14ac:dyDescent="0.2">
      <c r="A11" s="70" t="s">
        <v>2836</v>
      </c>
    </row>
    <row r="12" spans="1:4" x14ac:dyDescent="0.2">
      <c r="A12" s="157" t="s">
        <v>2837</v>
      </c>
      <c r="B12" s="157" t="s">
        <v>2838</v>
      </c>
    </row>
    <row r="13" spans="1:4" x14ac:dyDescent="0.2">
      <c r="A13" s="158" t="s">
        <v>2839</v>
      </c>
      <c r="B13" s="158" t="s">
        <v>2840</v>
      </c>
    </row>
    <row r="14" spans="1:4" x14ac:dyDescent="0.2">
      <c r="A14" s="298">
        <v>46170</v>
      </c>
      <c r="B14" s="158" t="s">
        <v>2841</v>
      </c>
    </row>
    <row r="15" spans="1:4" x14ac:dyDescent="0.2">
      <c r="A15" s="298">
        <v>46172</v>
      </c>
      <c r="B15" s="158" t="s">
        <v>2842</v>
      </c>
    </row>
    <row r="16" spans="1:4" x14ac:dyDescent="0.2">
      <c r="A16" s="298">
        <v>46172</v>
      </c>
      <c r="B16" s="158" t="s">
        <v>2843</v>
      </c>
    </row>
    <row r="17" spans="1:2" x14ac:dyDescent="0.2">
      <c r="A17" s="298">
        <v>46172</v>
      </c>
      <c r="B17" s="299" t="s">
        <v>2844</v>
      </c>
    </row>
    <row r="18" spans="1:2" x14ac:dyDescent="0.2">
      <c r="A18" s="160" t="s">
        <v>2845</v>
      </c>
      <c r="B18" s="198" t="s">
        <v>2846</v>
      </c>
    </row>
    <row r="20" spans="1:2" x14ac:dyDescent="0.2">
      <c r="A20" s="192" t="s">
        <v>2847</v>
      </c>
    </row>
    <row r="21" spans="1:2" x14ac:dyDescent="0.2">
      <c r="A21" s="157" t="s">
        <v>2379</v>
      </c>
      <c r="B21" s="157" t="s">
        <v>2848</v>
      </c>
    </row>
    <row r="22" spans="1:2" x14ac:dyDescent="0.2">
      <c r="A22" s="158" t="s">
        <v>2381</v>
      </c>
      <c r="B22" s="158" t="s">
        <v>2849</v>
      </c>
    </row>
    <row r="23" spans="1:2" x14ac:dyDescent="0.2">
      <c r="A23" s="158" t="s">
        <v>2383</v>
      </c>
      <c r="B23" s="158" t="s">
        <v>2850</v>
      </c>
    </row>
    <row r="24" spans="1:2" x14ac:dyDescent="0.2">
      <c r="A24" s="158" t="s">
        <v>2385</v>
      </c>
      <c r="B24" s="158" t="s">
        <v>2851</v>
      </c>
    </row>
    <row r="25" spans="1:2" x14ac:dyDescent="0.2">
      <c r="A25" s="158" t="s">
        <v>2387</v>
      </c>
      <c r="B25" s="158" t="s">
        <v>2852</v>
      </c>
    </row>
    <row r="26" spans="1:2" x14ac:dyDescent="0.2">
      <c r="A26" s="158" t="s">
        <v>2853</v>
      </c>
      <c r="B26" s="158" t="s">
        <v>2854</v>
      </c>
    </row>
    <row r="27" spans="1:2" x14ac:dyDescent="0.2">
      <c r="A27" s="160" t="s">
        <v>2855</v>
      </c>
      <c r="B27" s="160" t="s">
        <v>2856</v>
      </c>
    </row>
    <row r="29" spans="1:2" x14ac:dyDescent="0.2">
      <c r="A29" s="2" t="s">
        <v>2857</v>
      </c>
    </row>
    <row r="30" spans="1:2" x14ac:dyDescent="0.2">
      <c r="A30" s="157" t="s">
        <v>2858</v>
      </c>
      <c r="B30" s="157" t="s">
        <v>2859</v>
      </c>
    </row>
    <row r="31" spans="1:2" x14ac:dyDescent="0.2">
      <c r="A31" s="158" t="s">
        <v>2860</v>
      </c>
      <c r="B31" s="158" t="s">
        <v>2861</v>
      </c>
    </row>
    <row r="32" spans="1:2" x14ac:dyDescent="0.2">
      <c r="A32" s="158" t="s">
        <v>2862</v>
      </c>
      <c r="B32" s="222" t="s">
        <v>2863</v>
      </c>
    </row>
    <row r="33" spans="1:2" x14ac:dyDescent="0.2">
      <c r="A33" s="160" t="s">
        <v>2864</v>
      </c>
      <c r="B33" s="160" t="s">
        <v>2865</v>
      </c>
    </row>
  </sheetData>
  <mergeCells count="1">
    <mergeCell ref="A2:D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548A0-2227-2D4F-A87D-62516DE98532}">
  <dimension ref="A1:D33"/>
  <sheetViews>
    <sheetView workbookViewId="0">
      <pane ySplit="2" topLeftCell="A3" activePane="bottomLeft" state="frozen"/>
      <selection pane="bottomLeft"/>
    </sheetView>
  </sheetViews>
  <sheetFormatPr baseColWidth="10" defaultRowHeight="16" x14ac:dyDescent="0.2"/>
  <cols>
    <col min="1" max="1" width="20" customWidth="1"/>
    <col min="2" max="2" width="63.33203125" customWidth="1"/>
    <col min="3" max="3" width="70" customWidth="1"/>
    <col min="4" max="4" width="13.33203125" customWidth="1"/>
  </cols>
  <sheetData>
    <row r="1" spans="1:4" ht="19" x14ac:dyDescent="0.25">
      <c r="A1" s="1" t="s">
        <v>2703</v>
      </c>
    </row>
    <row r="2" spans="1:4" x14ac:dyDescent="0.2">
      <c r="A2" s="386" t="s">
        <v>2704</v>
      </c>
      <c r="B2" s="386"/>
      <c r="C2" s="386"/>
      <c r="D2" s="386"/>
    </row>
    <row r="4" spans="1:4" x14ac:dyDescent="0.2">
      <c r="A4" s="2" t="s">
        <v>2705</v>
      </c>
    </row>
    <row r="5" spans="1:4" x14ac:dyDescent="0.2">
      <c r="A5" s="163" t="s">
        <v>2706</v>
      </c>
      <c r="B5" s="164" t="s">
        <v>2707</v>
      </c>
      <c r="C5" s="165" t="s">
        <v>2708</v>
      </c>
    </row>
    <row r="6" spans="1:4" x14ac:dyDescent="0.2">
      <c r="A6" s="166" t="s">
        <v>2709</v>
      </c>
      <c r="B6" s="47" t="s">
        <v>2710</v>
      </c>
      <c r="C6" s="260" t="s">
        <v>2711</v>
      </c>
    </row>
    <row r="7" spans="1:4" x14ac:dyDescent="0.2">
      <c r="A7" s="166" t="s">
        <v>2712</v>
      </c>
      <c r="B7" s="47" t="s">
        <v>2713</v>
      </c>
      <c r="C7" s="167" t="s">
        <v>2714</v>
      </c>
    </row>
    <row r="8" spans="1:4" x14ac:dyDescent="0.2">
      <c r="A8" s="168" t="s">
        <v>2715</v>
      </c>
      <c r="B8" s="169" t="s">
        <v>2713</v>
      </c>
      <c r="C8" s="170" t="s">
        <v>2716</v>
      </c>
    </row>
    <row r="10" spans="1:4" x14ac:dyDescent="0.2">
      <c r="A10" s="2" t="s">
        <v>2717</v>
      </c>
    </row>
    <row r="11" spans="1:4" x14ac:dyDescent="0.2">
      <c r="A11" s="163" t="s">
        <v>2718</v>
      </c>
      <c r="B11" s="164" t="s">
        <v>2296</v>
      </c>
      <c r="C11" s="165" t="s">
        <v>21</v>
      </c>
    </row>
    <row r="12" spans="1:4" x14ac:dyDescent="0.2">
      <c r="A12" s="166" t="s">
        <v>2691</v>
      </c>
      <c r="B12" s="47" t="s">
        <v>2645</v>
      </c>
      <c r="C12" s="261" t="s">
        <v>2719</v>
      </c>
    </row>
    <row r="13" spans="1:4" x14ac:dyDescent="0.2">
      <c r="A13" s="166" t="s">
        <v>2510</v>
      </c>
      <c r="B13" s="47" t="s">
        <v>2720</v>
      </c>
      <c r="C13" s="247" t="s">
        <v>2721</v>
      </c>
    </row>
    <row r="14" spans="1:4" x14ac:dyDescent="0.2">
      <c r="A14" s="166" t="s">
        <v>2359</v>
      </c>
      <c r="B14" s="47" t="s">
        <v>2722</v>
      </c>
      <c r="C14" s="260" t="s">
        <v>2723</v>
      </c>
    </row>
    <row r="15" spans="1:4" x14ac:dyDescent="0.2">
      <c r="A15" s="166" t="s">
        <v>2724</v>
      </c>
      <c r="B15" s="47" t="s">
        <v>2725</v>
      </c>
      <c r="C15" s="167" t="s">
        <v>2726</v>
      </c>
    </row>
    <row r="16" spans="1:4" x14ac:dyDescent="0.2">
      <c r="A16" s="166" t="s">
        <v>2298</v>
      </c>
      <c r="B16" s="47" t="s">
        <v>2727</v>
      </c>
      <c r="C16" s="167" t="s">
        <v>2728</v>
      </c>
    </row>
    <row r="17" spans="1:4" x14ac:dyDescent="0.2">
      <c r="A17" s="168" t="s">
        <v>2729</v>
      </c>
      <c r="B17" s="169" t="s">
        <v>2645</v>
      </c>
      <c r="C17" s="262" t="s">
        <v>2730</v>
      </c>
    </row>
    <row r="19" spans="1:4" x14ac:dyDescent="0.2">
      <c r="A19" s="2" t="s">
        <v>2731</v>
      </c>
    </row>
    <row r="20" spans="1:4" x14ac:dyDescent="0.2">
      <c r="A20" s="157" t="s">
        <v>2404</v>
      </c>
      <c r="B20" s="157" t="s">
        <v>2732</v>
      </c>
      <c r="C20" s="291" t="s">
        <v>2733</v>
      </c>
    </row>
    <row r="21" spans="1:4" x14ac:dyDescent="0.2">
      <c r="A21" s="160" t="s">
        <v>2407</v>
      </c>
      <c r="B21" s="160" t="s">
        <v>2734</v>
      </c>
      <c r="C21" s="160" t="s">
        <v>2735</v>
      </c>
    </row>
    <row r="23" spans="1:4" x14ac:dyDescent="0.2">
      <c r="A23" s="19" t="s">
        <v>2736</v>
      </c>
    </row>
    <row r="24" spans="1:4" x14ac:dyDescent="0.2">
      <c r="A24" s="174" t="s">
        <v>1420</v>
      </c>
      <c r="B24" s="257" t="s">
        <v>2737</v>
      </c>
      <c r="C24" s="257" t="s">
        <v>2738</v>
      </c>
      <c r="D24" s="258" t="s">
        <v>819</v>
      </c>
    </row>
    <row r="25" spans="1:4" x14ac:dyDescent="0.2">
      <c r="A25" s="166">
        <v>1</v>
      </c>
      <c r="B25" s="47" t="s">
        <v>2739</v>
      </c>
      <c r="C25" s="227" t="s">
        <v>2740</v>
      </c>
      <c r="D25" s="247" t="s">
        <v>2179</v>
      </c>
    </row>
    <row r="26" spans="1:4" x14ac:dyDescent="0.2">
      <c r="A26" s="166">
        <v>2</v>
      </c>
      <c r="B26" s="47" t="s">
        <v>2741</v>
      </c>
      <c r="C26" s="47" t="s">
        <v>2742</v>
      </c>
      <c r="D26" s="247" t="s">
        <v>2179</v>
      </c>
    </row>
    <row r="27" spans="1:4" x14ac:dyDescent="0.2">
      <c r="A27" s="166">
        <v>3</v>
      </c>
      <c r="B27" s="47" t="s">
        <v>2743</v>
      </c>
      <c r="C27" s="47" t="s">
        <v>2744</v>
      </c>
      <c r="D27" s="247" t="s">
        <v>2179</v>
      </c>
    </row>
    <row r="28" spans="1:4" x14ac:dyDescent="0.2">
      <c r="A28" s="166">
        <v>4</v>
      </c>
      <c r="B28" s="47" t="s">
        <v>2745</v>
      </c>
      <c r="C28" s="47" t="s">
        <v>2746</v>
      </c>
      <c r="D28" s="246" t="s">
        <v>2193</v>
      </c>
    </row>
    <row r="29" spans="1:4" x14ac:dyDescent="0.2">
      <c r="A29" s="166">
        <v>5</v>
      </c>
      <c r="B29" s="47" t="s">
        <v>2747</v>
      </c>
      <c r="C29" s="47" t="s">
        <v>2748</v>
      </c>
      <c r="D29" s="246" t="s">
        <v>2193</v>
      </c>
    </row>
    <row r="30" spans="1:4" x14ac:dyDescent="0.2">
      <c r="A30" s="166">
        <v>6</v>
      </c>
      <c r="B30" s="47" t="s">
        <v>2749</v>
      </c>
      <c r="C30" s="47" t="s">
        <v>2750</v>
      </c>
      <c r="D30" s="247" t="s">
        <v>2200</v>
      </c>
    </row>
    <row r="31" spans="1:4" x14ac:dyDescent="0.2">
      <c r="A31" s="168">
        <v>7</v>
      </c>
      <c r="B31" s="169" t="s">
        <v>2751</v>
      </c>
      <c r="C31" s="169" t="s">
        <v>2752</v>
      </c>
      <c r="D31" s="248" t="s">
        <v>2200</v>
      </c>
    </row>
    <row r="33" spans="1:4" x14ac:dyDescent="0.2">
      <c r="A33" s="406" t="s">
        <v>2753</v>
      </c>
      <c r="B33" s="406"/>
      <c r="C33" s="406"/>
      <c r="D33" s="406"/>
    </row>
  </sheetData>
  <mergeCells count="2">
    <mergeCell ref="A2:D2"/>
    <mergeCell ref="A33:D3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8D4C-0CF6-0840-A91B-32E5636C1E40}">
  <dimension ref="A1:I24"/>
  <sheetViews>
    <sheetView workbookViewId="0">
      <pane ySplit="6" topLeftCell="A7" activePane="bottomLeft" state="frozen"/>
      <selection pane="bottomLeft" sqref="A1:I1"/>
    </sheetView>
  </sheetViews>
  <sheetFormatPr baseColWidth="10" defaultRowHeight="16" x14ac:dyDescent="0.2"/>
  <cols>
    <col min="1" max="1" width="26.6640625" customWidth="1"/>
    <col min="2" max="2" width="41.6640625" customWidth="1"/>
    <col min="4" max="4" width="18.33203125" customWidth="1"/>
    <col min="9" max="9" width="25" customWidth="1"/>
  </cols>
  <sheetData>
    <row r="1" spans="1:9" ht="19" x14ac:dyDescent="0.25">
      <c r="A1" s="396" t="s">
        <v>2243</v>
      </c>
      <c r="B1" s="396"/>
      <c r="C1" s="396"/>
      <c r="D1" s="396"/>
      <c r="E1" s="396"/>
      <c r="F1" s="396"/>
      <c r="G1" s="396"/>
      <c r="H1" s="396"/>
      <c r="I1" s="396"/>
    </row>
    <row r="2" spans="1:9" x14ac:dyDescent="0.2">
      <c r="A2" s="386" t="s">
        <v>2244</v>
      </c>
      <c r="B2" s="386"/>
      <c r="C2" s="386"/>
      <c r="D2" s="386"/>
      <c r="E2" s="386"/>
      <c r="F2" s="386"/>
      <c r="G2" s="386"/>
      <c r="H2" s="386"/>
      <c r="I2" s="386"/>
    </row>
    <row r="3" spans="1:9" x14ac:dyDescent="0.2">
      <c r="A3" s="401" t="s">
        <v>2245</v>
      </c>
      <c r="B3" s="401"/>
      <c r="C3" s="401"/>
      <c r="D3" s="401"/>
      <c r="E3" s="401"/>
      <c r="F3" s="401"/>
      <c r="G3" s="401"/>
      <c r="H3" s="401"/>
      <c r="I3" s="401"/>
    </row>
    <row r="5" spans="1:9" x14ac:dyDescent="0.2">
      <c r="A5" s="2" t="s">
        <v>2246</v>
      </c>
    </row>
    <row r="6" spans="1:9" x14ac:dyDescent="0.2">
      <c r="A6" s="171" t="s">
        <v>2052</v>
      </c>
      <c r="B6" s="46" t="s">
        <v>729</v>
      </c>
      <c r="C6" s="46" t="s">
        <v>1945</v>
      </c>
      <c r="D6" s="46" t="s">
        <v>2247</v>
      </c>
      <c r="E6" s="46" t="s">
        <v>2248</v>
      </c>
      <c r="F6" s="46" t="s">
        <v>2249</v>
      </c>
      <c r="G6" s="46" t="s">
        <v>2250</v>
      </c>
      <c r="H6" s="46" t="s">
        <v>2251</v>
      </c>
      <c r="I6" s="172" t="s">
        <v>21</v>
      </c>
    </row>
    <row r="7" spans="1:9" x14ac:dyDescent="0.2">
      <c r="A7" s="166" t="s">
        <v>1788</v>
      </c>
      <c r="B7" s="47" t="s">
        <v>1955</v>
      </c>
      <c r="C7" s="47" t="s">
        <v>1958</v>
      </c>
      <c r="D7" s="47" t="s">
        <v>1886</v>
      </c>
      <c r="E7" s="47">
        <v>3</v>
      </c>
      <c r="F7" s="47">
        <v>0</v>
      </c>
      <c r="G7" s="47" t="s">
        <v>2252</v>
      </c>
      <c r="H7" s="47" t="s">
        <v>2253</v>
      </c>
      <c r="I7" s="214" t="s">
        <v>2254</v>
      </c>
    </row>
    <row r="8" spans="1:9" x14ac:dyDescent="0.2">
      <c r="A8" s="166" t="s">
        <v>1799</v>
      </c>
      <c r="B8" s="47" t="s">
        <v>1955</v>
      </c>
      <c r="C8" s="47" t="s">
        <v>1801</v>
      </c>
      <c r="D8" s="47" t="s">
        <v>2255</v>
      </c>
      <c r="E8" s="47" t="s">
        <v>313</v>
      </c>
      <c r="F8" s="47" t="s">
        <v>313</v>
      </c>
      <c r="G8" s="47" t="s">
        <v>313</v>
      </c>
      <c r="H8" s="47" t="s">
        <v>2256</v>
      </c>
      <c r="I8" s="246" t="s">
        <v>2257</v>
      </c>
    </row>
    <row r="9" spans="1:9" x14ac:dyDescent="0.2">
      <c r="A9" s="166" t="s">
        <v>1805</v>
      </c>
      <c r="B9" s="47" t="s">
        <v>1955</v>
      </c>
      <c r="C9" s="47" t="s">
        <v>1958</v>
      </c>
      <c r="D9" s="47" t="s">
        <v>1891</v>
      </c>
      <c r="E9" s="47">
        <v>0</v>
      </c>
      <c r="F9" s="47">
        <v>0</v>
      </c>
      <c r="G9" s="47" t="s">
        <v>835</v>
      </c>
      <c r="H9" s="47" t="s">
        <v>835</v>
      </c>
      <c r="I9" s="214" t="s">
        <v>2254</v>
      </c>
    </row>
    <row r="10" spans="1:9" x14ac:dyDescent="0.2">
      <c r="A10" s="166" t="s">
        <v>1812</v>
      </c>
      <c r="B10" s="47" t="s">
        <v>1955</v>
      </c>
      <c r="C10" s="47" t="s">
        <v>1958</v>
      </c>
      <c r="D10" s="47" t="s">
        <v>1893</v>
      </c>
      <c r="E10" s="47">
        <v>0</v>
      </c>
      <c r="F10" s="47">
        <v>0</v>
      </c>
      <c r="G10" s="47" t="s">
        <v>835</v>
      </c>
      <c r="H10" s="47" t="s">
        <v>835</v>
      </c>
      <c r="I10" s="214" t="s">
        <v>2254</v>
      </c>
    </row>
    <row r="11" spans="1:9" x14ac:dyDescent="0.2">
      <c r="A11" s="166" t="s">
        <v>951</v>
      </c>
      <c r="B11" s="47" t="s">
        <v>1948</v>
      </c>
      <c r="C11" s="47" t="s">
        <v>1776</v>
      </c>
      <c r="D11" s="47" t="s">
        <v>2258</v>
      </c>
      <c r="E11" s="47" t="s">
        <v>313</v>
      </c>
      <c r="F11" s="47" t="s">
        <v>313</v>
      </c>
      <c r="G11" s="47" t="s">
        <v>2259</v>
      </c>
      <c r="H11" s="47" t="s">
        <v>313</v>
      </c>
      <c r="I11" s="247" t="s">
        <v>2260</v>
      </c>
    </row>
    <row r="12" spans="1:9" x14ac:dyDescent="0.2">
      <c r="A12" s="166" t="s">
        <v>1650</v>
      </c>
      <c r="B12" s="47" t="s">
        <v>1948</v>
      </c>
      <c r="C12" s="47" t="s">
        <v>1776</v>
      </c>
      <c r="D12" s="47" t="s">
        <v>2258</v>
      </c>
      <c r="E12" s="47" t="s">
        <v>313</v>
      </c>
      <c r="F12" s="47" t="s">
        <v>313</v>
      </c>
      <c r="G12" s="47" t="s">
        <v>2261</v>
      </c>
      <c r="H12" s="47" t="s">
        <v>313</v>
      </c>
      <c r="I12" s="247" t="s">
        <v>2260</v>
      </c>
    </row>
    <row r="13" spans="1:9" x14ac:dyDescent="0.2">
      <c r="A13" s="166" t="s">
        <v>1656</v>
      </c>
      <c r="B13" s="47" t="s">
        <v>1948</v>
      </c>
      <c r="C13" s="47" t="s">
        <v>1776</v>
      </c>
      <c r="D13" s="47" t="s">
        <v>2258</v>
      </c>
      <c r="E13" s="47" t="s">
        <v>313</v>
      </c>
      <c r="F13" s="47" t="s">
        <v>313</v>
      </c>
      <c r="G13" s="47" t="s">
        <v>2262</v>
      </c>
      <c r="H13" s="47" t="s">
        <v>313</v>
      </c>
      <c r="I13" s="247" t="s">
        <v>2260</v>
      </c>
    </row>
    <row r="15" spans="1:9" x14ac:dyDescent="0.2">
      <c r="A15" s="2" t="s">
        <v>2263</v>
      </c>
    </row>
    <row r="16" spans="1:9" x14ac:dyDescent="0.2">
      <c r="A16" s="163" t="s">
        <v>2052</v>
      </c>
      <c r="B16" s="164" t="s">
        <v>2264</v>
      </c>
      <c r="C16" s="164" t="s">
        <v>729</v>
      </c>
      <c r="D16" s="164" t="s">
        <v>2265</v>
      </c>
      <c r="E16" s="164" t="s">
        <v>2266</v>
      </c>
      <c r="F16" s="165" t="s">
        <v>2267</v>
      </c>
    </row>
    <row r="17" spans="1:6" x14ac:dyDescent="0.2">
      <c r="A17" s="166" t="s">
        <v>2268</v>
      </c>
      <c r="B17" s="47" t="s">
        <v>2269</v>
      </c>
      <c r="C17" s="47" t="s">
        <v>2270</v>
      </c>
      <c r="D17" s="47" t="s">
        <v>2271</v>
      </c>
      <c r="E17" s="65">
        <v>46131</v>
      </c>
      <c r="F17" s="249">
        <v>46131</v>
      </c>
    </row>
    <row r="18" spans="1:6" x14ac:dyDescent="0.2">
      <c r="A18" s="166" t="s">
        <v>2268</v>
      </c>
      <c r="B18" s="47" t="s">
        <v>2272</v>
      </c>
      <c r="C18" s="47" t="s">
        <v>2270</v>
      </c>
      <c r="D18" s="47" t="s">
        <v>2273</v>
      </c>
      <c r="E18" s="65">
        <v>46025</v>
      </c>
      <c r="F18" s="249">
        <v>46032</v>
      </c>
    </row>
    <row r="19" spans="1:6" x14ac:dyDescent="0.2">
      <c r="A19" s="166" t="s">
        <v>2268</v>
      </c>
      <c r="B19" s="47" t="s">
        <v>2274</v>
      </c>
      <c r="C19" s="47" t="s">
        <v>2275</v>
      </c>
      <c r="D19" s="47" t="s">
        <v>835</v>
      </c>
      <c r="E19" s="65">
        <v>46025</v>
      </c>
      <c r="F19" s="249">
        <v>46025</v>
      </c>
    </row>
    <row r="20" spans="1:6" x14ac:dyDescent="0.2">
      <c r="A20" s="166" t="s">
        <v>2276</v>
      </c>
      <c r="B20" s="47" t="s">
        <v>2277</v>
      </c>
      <c r="C20" s="47" t="s">
        <v>835</v>
      </c>
      <c r="D20" s="47" t="s">
        <v>835</v>
      </c>
      <c r="E20" s="47" t="s">
        <v>835</v>
      </c>
      <c r="F20" s="167" t="s">
        <v>835</v>
      </c>
    </row>
    <row r="21" spans="1:6" x14ac:dyDescent="0.2">
      <c r="A21" s="166" t="s">
        <v>2278</v>
      </c>
      <c r="B21" s="47" t="s">
        <v>2279</v>
      </c>
      <c r="C21" s="47" t="s">
        <v>313</v>
      </c>
      <c r="D21" s="47" t="s">
        <v>2256</v>
      </c>
      <c r="E21" s="47" t="s">
        <v>835</v>
      </c>
      <c r="F21" s="167" t="s">
        <v>835</v>
      </c>
    </row>
    <row r="22" spans="1:6" x14ac:dyDescent="0.2">
      <c r="A22" s="166" t="s">
        <v>951</v>
      </c>
      <c r="B22" s="47" t="s">
        <v>2280</v>
      </c>
      <c r="C22" s="47" t="s">
        <v>313</v>
      </c>
      <c r="D22" s="47" t="s">
        <v>2259</v>
      </c>
      <c r="E22" s="47" t="s">
        <v>835</v>
      </c>
      <c r="F22" s="167" t="s">
        <v>835</v>
      </c>
    </row>
    <row r="23" spans="1:6" x14ac:dyDescent="0.2">
      <c r="A23" s="166" t="s">
        <v>1650</v>
      </c>
      <c r="B23" s="47" t="s">
        <v>2281</v>
      </c>
      <c r="C23" s="47" t="s">
        <v>313</v>
      </c>
      <c r="D23" s="47" t="s">
        <v>2261</v>
      </c>
      <c r="E23" s="47" t="s">
        <v>835</v>
      </c>
      <c r="F23" s="167" t="s">
        <v>835</v>
      </c>
    </row>
    <row r="24" spans="1:6" x14ac:dyDescent="0.2">
      <c r="A24" s="166" t="s">
        <v>1656</v>
      </c>
      <c r="B24" s="47" t="s">
        <v>2281</v>
      </c>
      <c r="C24" s="47" t="s">
        <v>313</v>
      </c>
      <c r="D24" s="47" t="s">
        <v>2262</v>
      </c>
      <c r="E24" s="47" t="s">
        <v>835</v>
      </c>
      <c r="F24" s="167" t="s">
        <v>835</v>
      </c>
    </row>
  </sheetData>
  <mergeCells count="3">
    <mergeCell ref="A1:I1"/>
    <mergeCell ref="A2:I2"/>
    <mergeCell ref="A3:I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0A8B-6167-A744-92B5-9FF58DACFA56}">
  <dimension ref="A1:G23"/>
  <sheetViews>
    <sheetView workbookViewId="0">
      <pane ySplit="3" topLeftCell="A4" activePane="bottomLeft" state="frozen"/>
      <selection pane="bottomLeft" sqref="A1:G1"/>
    </sheetView>
  </sheetViews>
  <sheetFormatPr baseColWidth="10" defaultRowHeight="16" x14ac:dyDescent="0.2"/>
  <cols>
    <col min="1" max="1" width="15" customWidth="1"/>
    <col min="2" max="2" width="21.6640625" customWidth="1"/>
    <col min="3" max="3" width="33.33203125" customWidth="1"/>
    <col min="4" max="4" width="43.33203125" customWidth="1"/>
    <col min="5" max="5" width="25" customWidth="1"/>
    <col min="6" max="6" width="16.6640625" customWidth="1"/>
    <col min="7" max="7" width="33.33203125" customWidth="1"/>
  </cols>
  <sheetData>
    <row r="1" spans="1:7" ht="19" x14ac:dyDescent="0.25">
      <c r="A1" s="396" t="s">
        <v>2282</v>
      </c>
      <c r="B1" s="396"/>
      <c r="C1" s="396"/>
      <c r="D1" s="396"/>
      <c r="E1" s="396"/>
      <c r="F1" s="396"/>
      <c r="G1" s="396"/>
    </row>
    <row r="2" spans="1:7" x14ac:dyDescent="0.2">
      <c r="A2" s="386" t="s">
        <v>2283</v>
      </c>
      <c r="B2" s="386"/>
      <c r="C2" s="386"/>
      <c r="D2" s="386"/>
      <c r="E2" s="386"/>
      <c r="F2" s="386"/>
      <c r="G2" s="386"/>
    </row>
    <row r="3" spans="1:7" x14ac:dyDescent="0.2">
      <c r="A3" s="407" t="s">
        <v>2284</v>
      </c>
      <c r="B3" s="407"/>
      <c r="C3" s="407"/>
      <c r="D3" s="407"/>
      <c r="E3" s="407"/>
      <c r="F3" s="407"/>
      <c r="G3" s="407"/>
    </row>
    <row r="5" spans="1:7" x14ac:dyDescent="0.2">
      <c r="A5" s="2" t="s">
        <v>2285</v>
      </c>
    </row>
    <row r="6" spans="1:7" x14ac:dyDescent="0.2">
      <c r="A6" s="171" t="s">
        <v>2286</v>
      </c>
      <c r="B6" s="46" t="s">
        <v>2287</v>
      </c>
      <c r="C6" s="46" t="s">
        <v>2288</v>
      </c>
      <c r="D6" s="46" t="s">
        <v>21</v>
      </c>
      <c r="E6" s="46" t="s">
        <v>2289</v>
      </c>
      <c r="F6" s="46" t="s">
        <v>2290</v>
      </c>
      <c r="G6" s="172" t="s">
        <v>1599</v>
      </c>
    </row>
    <row r="7" spans="1:7" x14ac:dyDescent="0.2">
      <c r="A7" s="166" t="s">
        <v>2291</v>
      </c>
      <c r="B7" s="47" t="s">
        <v>2292</v>
      </c>
      <c r="C7" s="47" t="s">
        <v>1790</v>
      </c>
      <c r="D7" s="211" t="s">
        <v>1895</v>
      </c>
      <c r="E7" s="252">
        <v>46023.566064814811</v>
      </c>
      <c r="F7" s="47" t="s">
        <v>2293</v>
      </c>
      <c r="G7" s="167" t="s">
        <v>2294</v>
      </c>
    </row>
    <row r="9" spans="1:7" x14ac:dyDescent="0.2">
      <c r="A9" s="2" t="s">
        <v>2295</v>
      </c>
    </row>
    <row r="10" spans="1:7" x14ac:dyDescent="0.2">
      <c r="A10" s="163" t="s">
        <v>2296</v>
      </c>
      <c r="B10" s="164" t="s">
        <v>729</v>
      </c>
      <c r="C10" s="164" t="s">
        <v>2297</v>
      </c>
      <c r="D10" s="165" t="s">
        <v>2218</v>
      </c>
    </row>
    <row r="11" spans="1:7" x14ac:dyDescent="0.2">
      <c r="A11" s="171" t="s">
        <v>1790</v>
      </c>
      <c r="B11" s="47" t="s">
        <v>2298</v>
      </c>
      <c r="C11" s="201" t="s">
        <v>1958</v>
      </c>
      <c r="D11" s="167" t="s">
        <v>2299</v>
      </c>
    </row>
    <row r="12" spans="1:7" x14ac:dyDescent="0.2">
      <c r="A12" s="253" t="s">
        <v>1800</v>
      </c>
      <c r="B12" s="169" t="s">
        <v>2300</v>
      </c>
      <c r="C12" s="203" t="s">
        <v>2301</v>
      </c>
      <c r="D12" s="238" t="s">
        <v>2302</v>
      </c>
    </row>
    <row r="14" spans="1:7" x14ac:dyDescent="0.2">
      <c r="A14" s="250" t="s">
        <v>2303</v>
      </c>
    </row>
    <row r="15" spans="1:7" x14ac:dyDescent="0.2">
      <c r="A15" s="251" t="s">
        <v>2304</v>
      </c>
    </row>
    <row r="16" spans="1:7" x14ac:dyDescent="0.2">
      <c r="A16" s="156" t="s">
        <v>2305</v>
      </c>
    </row>
    <row r="18" spans="1:2" x14ac:dyDescent="0.2">
      <c r="A18" s="2" t="s">
        <v>2306</v>
      </c>
    </row>
    <row r="19" spans="1:2" x14ac:dyDescent="0.2">
      <c r="A19" s="218" t="s">
        <v>464</v>
      </c>
      <c r="B19" s="218" t="s">
        <v>2110</v>
      </c>
    </row>
    <row r="20" spans="1:2" x14ac:dyDescent="0.2">
      <c r="A20" s="158" t="s">
        <v>2307</v>
      </c>
      <c r="B20" s="158" t="s">
        <v>2308</v>
      </c>
    </row>
    <row r="21" spans="1:2" x14ac:dyDescent="0.2">
      <c r="A21" s="158" t="s">
        <v>2309</v>
      </c>
      <c r="B21" s="254" t="s">
        <v>2310</v>
      </c>
    </row>
    <row r="22" spans="1:2" x14ac:dyDescent="0.2">
      <c r="A22" s="194" t="s">
        <v>2311</v>
      </c>
      <c r="B22" s="194" t="s">
        <v>2312</v>
      </c>
    </row>
    <row r="23" spans="1:2" x14ac:dyDescent="0.2">
      <c r="A23" s="160" t="s">
        <v>2313</v>
      </c>
      <c r="B23" s="160" t="s">
        <v>2314</v>
      </c>
    </row>
  </sheetData>
  <mergeCells count="3">
    <mergeCell ref="A1:G1"/>
    <mergeCell ref="A2:G2"/>
    <mergeCell ref="A3:G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9E452-172E-C743-8C29-3B7C4C394195}">
  <dimension ref="A1:X23"/>
  <sheetViews>
    <sheetView zoomScale="120" zoomScaleNormal="120" workbookViewId="0">
      <selection activeCell="D31" sqref="D31"/>
    </sheetView>
  </sheetViews>
  <sheetFormatPr baseColWidth="10" defaultColWidth="10.6640625" defaultRowHeight="16" x14ac:dyDescent="0.2"/>
  <cols>
    <col min="1" max="21" width="18.33203125" customWidth="1"/>
  </cols>
  <sheetData>
    <row r="1" spans="1:24" ht="19" x14ac:dyDescent="0.25">
      <c r="A1" s="1" t="s">
        <v>0</v>
      </c>
    </row>
    <row r="3" spans="1:24" x14ac:dyDescent="0.2">
      <c r="A3" s="3" t="s">
        <v>1</v>
      </c>
      <c r="B3" s="2" t="s">
        <v>2</v>
      </c>
      <c r="C3" s="2" t="s">
        <v>3</v>
      </c>
      <c r="D3" s="2" t="s">
        <v>4</v>
      </c>
      <c r="E3" s="2" t="s">
        <v>5</v>
      </c>
      <c r="F3" s="2" t="s">
        <v>6</v>
      </c>
      <c r="G3" s="2" t="s">
        <v>7</v>
      </c>
      <c r="H3" s="2" t="s">
        <v>8</v>
      </c>
      <c r="I3" s="2" t="s">
        <v>9</v>
      </c>
      <c r="J3" s="2" t="s">
        <v>10</v>
      </c>
      <c r="K3" s="2" t="s">
        <v>11</v>
      </c>
      <c r="L3" s="2" t="s">
        <v>12</v>
      </c>
      <c r="M3" s="3" t="s">
        <v>13</v>
      </c>
      <c r="N3" s="3" t="s">
        <v>14</v>
      </c>
      <c r="O3" s="3" t="s">
        <v>15</v>
      </c>
      <c r="P3" s="3" t="s">
        <v>16</v>
      </c>
      <c r="Q3" s="3" t="s">
        <v>17</v>
      </c>
      <c r="R3" s="3" t="s">
        <v>18</v>
      </c>
      <c r="S3" s="3" t="s">
        <v>19</v>
      </c>
      <c r="T3" s="3" t="s">
        <v>20</v>
      </c>
      <c r="U3" s="3" t="s">
        <v>21</v>
      </c>
      <c r="V3" s="3" t="s">
        <v>22</v>
      </c>
      <c r="W3" s="3" t="s">
        <v>23</v>
      </c>
      <c r="X3" s="3" t="s">
        <v>24</v>
      </c>
    </row>
    <row r="4" spans="1:24" x14ac:dyDescent="0.2">
      <c r="A4" t="s">
        <v>25</v>
      </c>
      <c r="B4" t="s">
        <v>26</v>
      </c>
      <c r="C4" t="s">
        <v>27</v>
      </c>
      <c r="D4" t="s">
        <v>28</v>
      </c>
      <c r="E4">
        <v>1.6</v>
      </c>
      <c r="F4" t="s">
        <v>29</v>
      </c>
      <c r="G4" t="s">
        <v>30</v>
      </c>
      <c r="H4" t="s">
        <v>31</v>
      </c>
      <c r="I4" t="s">
        <v>32</v>
      </c>
      <c r="Q4" t="s">
        <v>33</v>
      </c>
      <c r="U4" t="s">
        <v>34</v>
      </c>
    </row>
    <row r="5" spans="1:24" x14ac:dyDescent="0.2">
      <c r="A5" t="s">
        <v>35</v>
      </c>
      <c r="B5" t="s">
        <v>36</v>
      </c>
      <c r="C5" t="s">
        <v>37</v>
      </c>
      <c r="D5" t="s">
        <v>38</v>
      </c>
      <c r="E5">
        <v>2</v>
      </c>
      <c r="F5" t="s">
        <v>39</v>
      </c>
      <c r="G5" t="s">
        <v>40</v>
      </c>
      <c r="H5" t="s">
        <v>31</v>
      </c>
      <c r="I5" t="s">
        <v>32</v>
      </c>
      <c r="Q5" t="s">
        <v>33</v>
      </c>
      <c r="U5" t="s">
        <v>34</v>
      </c>
    </row>
    <row r="6" spans="1:24" x14ac:dyDescent="0.2">
      <c r="A6" t="s">
        <v>41</v>
      </c>
      <c r="B6" t="s">
        <v>42</v>
      </c>
      <c r="C6" t="s">
        <v>43</v>
      </c>
      <c r="D6" t="s">
        <v>44</v>
      </c>
      <c r="E6">
        <v>14</v>
      </c>
      <c r="F6" t="s">
        <v>45</v>
      </c>
      <c r="G6" t="s">
        <v>46</v>
      </c>
      <c r="H6" t="s">
        <v>47</v>
      </c>
      <c r="I6" t="s">
        <v>32</v>
      </c>
      <c r="Q6" t="s">
        <v>33</v>
      </c>
      <c r="U6" t="s">
        <v>34</v>
      </c>
    </row>
    <row r="7" spans="1:24" x14ac:dyDescent="0.2">
      <c r="A7" t="s">
        <v>48</v>
      </c>
      <c r="B7" t="s">
        <v>49</v>
      </c>
      <c r="C7" t="s">
        <v>50</v>
      </c>
      <c r="D7" t="s">
        <v>51</v>
      </c>
      <c r="E7">
        <v>1</v>
      </c>
      <c r="F7" t="s">
        <v>52</v>
      </c>
      <c r="G7" t="s">
        <v>53</v>
      </c>
      <c r="H7" t="s">
        <v>54</v>
      </c>
      <c r="I7" t="s">
        <v>32</v>
      </c>
      <c r="Q7" t="s">
        <v>33</v>
      </c>
      <c r="U7" t="s">
        <v>34</v>
      </c>
    </row>
    <row r="8" spans="1:24" x14ac:dyDescent="0.2">
      <c r="A8" t="s">
        <v>55</v>
      </c>
      <c r="B8" t="s">
        <v>56</v>
      </c>
      <c r="C8" t="s">
        <v>57</v>
      </c>
      <c r="D8" t="s">
        <v>58</v>
      </c>
      <c r="F8" t="s">
        <v>59</v>
      </c>
      <c r="G8" t="s">
        <v>60</v>
      </c>
      <c r="H8" t="s">
        <v>61</v>
      </c>
      <c r="I8" t="s">
        <v>62</v>
      </c>
      <c r="O8" t="s">
        <v>33</v>
      </c>
      <c r="P8" t="s">
        <v>63</v>
      </c>
      <c r="Q8" t="s">
        <v>33</v>
      </c>
      <c r="U8" t="s">
        <v>34</v>
      </c>
    </row>
    <row r="9" spans="1:24" x14ac:dyDescent="0.2">
      <c r="A9" t="s">
        <v>64</v>
      </c>
      <c r="B9" t="s">
        <v>65</v>
      </c>
      <c r="C9" t="s">
        <v>66</v>
      </c>
      <c r="D9" t="s">
        <v>67</v>
      </c>
      <c r="F9" t="s">
        <v>59</v>
      </c>
      <c r="G9" t="s">
        <v>68</v>
      </c>
      <c r="H9" t="s">
        <v>69</v>
      </c>
      <c r="I9" t="s">
        <v>32</v>
      </c>
      <c r="O9" t="s">
        <v>33</v>
      </c>
      <c r="P9" t="s">
        <v>70</v>
      </c>
      <c r="Q9" t="s">
        <v>33</v>
      </c>
      <c r="U9" t="s">
        <v>34</v>
      </c>
    </row>
    <row r="10" spans="1:24" x14ac:dyDescent="0.2">
      <c r="A10" t="s">
        <v>71</v>
      </c>
      <c r="B10" t="s">
        <v>72</v>
      </c>
      <c r="C10" t="s">
        <v>73</v>
      </c>
      <c r="D10" t="s">
        <v>74</v>
      </c>
      <c r="E10">
        <v>6000</v>
      </c>
      <c r="F10" t="s">
        <v>59</v>
      </c>
      <c r="G10" t="s">
        <v>75</v>
      </c>
      <c r="H10" t="s">
        <v>76</v>
      </c>
      <c r="I10" t="s">
        <v>32</v>
      </c>
      <c r="O10" t="s">
        <v>33</v>
      </c>
      <c r="P10" t="s">
        <v>77</v>
      </c>
      <c r="Q10" t="s">
        <v>33</v>
      </c>
      <c r="U10" t="s">
        <v>34</v>
      </c>
    </row>
    <row r="11" spans="1:24" x14ac:dyDescent="0.2">
      <c r="A11" t="s">
        <v>78</v>
      </c>
      <c r="B11" t="s">
        <v>79</v>
      </c>
      <c r="C11" t="s">
        <v>80</v>
      </c>
      <c r="D11" t="s">
        <v>81</v>
      </c>
      <c r="F11" t="s">
        <v>82</v>
      </c>
      <c r="G11" t="s">
        <v>83</v>
      </c>
      <c r="H11" t="s">
        <v>61</v>
      </c>
      <c r="I11" t="s">
        <v>84</v>
      </c>
      <c r="O11" t="s">
        <v>85</v>
      </c>
      <c r="P11" t="s">
        <v>86</v>
      </c>
      <c r="Q11" t="s">
        <v>33</v>
      </c>
      <c r="U11" t="s">
        <v>34</v>
      </c>
    </row>
    <row r="12" spans="1:24" x14ac:dyDescent="0.2">
      <c r="A12" t="s">
        <v>87</v>
      </c>
      <c r="B12" t="s">
        <v>88</v>
      </c>
      <c r="C12" t="s">
        <v>89</v>
      </c>
      <c r="D12" t="s">
        <v>90</v>
      </c>
      <c r="F12" t="s">
        <v>82</v>
      </c>
      <c r="G12" t="s">
        <v>83</v>
      </c>
      <c r="H12" t="s">
        <v>91</v>
      </c>
      <c r="I12" t="s">
        <v>62</v>
      </c>
      <c r="Q12" t="s">
        <v>33</v>
      </c>
      <c r="U12" t="s">
        <v>34</v>
      </c>
    </row>
    <row r="13" spans="1:24" x14ac:dyDescent="0.2">
      <c r="A13" t="s">
        <v>92</v>
      </c>
      <c r="B13" t="s">
        <v>93</v>
      </c>
      <c r="C13" t="s">
        <v>94</v>
      </c>
      <c r="F13" t="s">
        <v>95</v>
      </c>
      <c r="G13" t="s">
        <v>96</v>
      </c>
      <c r="H13" t="s">
        <v>97</v>
      </c>
      <c r="I13" t="s">
        <v>62</v>
      </c>
      <c r="Q13" t="s">
        <v>33</v>
      </c>
      <c r="U13" t="s">
        <v>34</v>
      </c>
    </row>
    <row r="14" spans="1:24" x14ac:dyDescent="0.2">
      <c r="A14" t="s">
        <v>98</v>
      </c>
      <c r="B14" t="s">
        <v>99</v>
      </c>
      <c r="C14" t="s">
        <v>100</v>
      </c>
      <c r="D14" t="s">
        <v>101</v>
      </c>
      <c r="F14" t="s">
        <v>29</v>
      </c>
      <c r="G14" t="s">
        <v>102</v>
      </c>
      <c r="H14" t="s">
        <v>31</v>
      </c>
      <c r="I14" t="s">
        <v>32</v>
      </c>
      <c r="Q14" t="s">
        <v>33</v>
      </c>
      <c r="U14" t="s">
        <v>34</v>
      </c>
    </row>
    <row r="15" spans="1:24" x14ac:dyDescent="0.2">
      <c r="A15" t="s">
        <v>103</v>
      </c>
      <c r="B15" t="s">
        <v>104</v>
      </c>
      <c r="C15" t="s">
        <v>105</v>
      </c>
      <c r="D15" t="s">
        <v>106</v>
      </c>
      <c r="F15" t="s">
        <v>29</v>
      </c>
      <c r="G15" t="s">
        <v>102</v>
      </c>
      <c r="H15" t="s">
        <v>107</v>
      </c>
      <c r="I15" t="s">
        <v>32</v>
      </c>
      <c r="Q15" t="s">
        <v>33</v>
      </c>
      <c r="U15" t="s">
        <v>34</v>
      </c>
    </row>
    <row r="16" spans="1:24" x14ac:dyDescent="0.2">
      <c r="A16" t="s">
        <v>108</v>
      </c>
      <c r="B16" t="s">
        <v>109</v>
      </c>
      <c r="C16" t="s">
        <v>110</v>
      </c>
      <c r="D16" t="s">
        <v>109</v>
      </c>
      <c r="F16" t="s">
        <v>29</v>
      </c>
      <c r="G16" t="s">
        <v>111</v>
      </c>
      <c r="H16" t="s">
        <v>31</v>
      </c>
      <c r="I16" t="s">
        <v>32</v>
      </c>
      <c r="Q16" t="s">
        <v>33</v>
      </c>
      <c r="U16" t="s">
        <v>34</v>
      </c>
    </row>
    <row r="17" spans="1:21" x14ac:dyDescent="0.2">
      <c r="A17" t="s">
        <v>112</v>
      </c>
      <c r="B17" t="s">
        <v>113</v>
      </c>
      <c r="C17" t="s">
        <v>114</v>
      </c>
      <c r="D17" t="s">
        <v>115</v>
      </c>
      <c r="F17" t="s">
        <v>116</v>
      </c>
      <c r="G17" t="s">
        <v>117</v>
      </c>
      <c r="H17" t="s">
        <v>31</v>
      </c>
      <c r="I17" t="s">
        <v>32</v>
      </c>
      <c r="Q17" t="s">
        <v>33</v>
      </c>
      <c r="U17" t="s">
        <v>34</v>
      </c>
    </row>
    <row r="18" spans="1:21" x14ac:dyDescent="0.2">
      <c r="A18" t="s">
        <v>118</v>
      </c>
      <c r="B18" t="s">
        <v>119</v>
      </c>
      <c r="C18" t="s">
        <v>120</v>
      </c>
      <c r="D18" t="s">
        <v>121</v>
      </c>
      <c r="F18" t="s">
        <v>82</v>
      </c>
      <c r="G18" t="s">
        <v>122</v>
      </c>
      <c r="H18" t="s">
        <v>61</v>
      </c>
      <c r="I18" t="s">
        <v>62</v>
      </c>
      <c r="Q18" t="s">
        <v>33</v>
      </c>
      <c r="U18" t="s">
        <v>34</v>
      </c>
    </row>
    <row r="19" spans="1:21" x14ac:dyDescent="0.2">
      <c r="A19" t="s">
        <v>123</v>
      </c>
      <c r="B19" t="s">
        <v>124</v>
      </c>
      <c r="C19" t="s">
        <v>125</v>
      </c>
      <c r="D19" t="s">
        <v>126</v>
      </c>
      <c r="F19" t="s">
        <v>59</v>
      </c>
      <c r="G19" t="s">
        <v>127</v>
      </c>
      <c r="H19" t="s">
        <v>69</v>
      </c>
      <c r="I19" t="s">
        <v>128</v>
      </c>
      <c r="O19" t="s">
        <v>33</v>
      </c>
      <c r="P19" t="s">
        <v>129</v>
      </c>
      <c r="Q19" t="s">
        <v>33</v>
      </c>
      <c r="U19" t="s">
        <v>34</v>
      </c>
    </row>
    <row r="20" spans="1:21" x14ac:dyDescent="0.2">
      <c r="A20" t="s">
        <v>130</v>
      </c>
      <c r="B20" t="s">
        <v>131</v>
      </c>
      <c r="C20" t="s">
        <v>132</v>
      </c>
      <c r="D20" t="s">
        <v>133</v>
      </c>
      <c r="F20" t="s">
        <v>29</v>
      </c>
      <c r="G20" t="s">
        <v>102</v>
      </c>
      <c r="H20" t="s">
        <v>31</v>
      </c>
      <c r="I20" t="s">
        <v>32</v>
      </c>
      <c r="Q20" t="s">
        <v>33</v>
      </c>
      <c r="U20" t="s">
        <v>34</v>
      </c>
    </row>
    <row r="21" spans="1:21" x14ac:dyDescent="0.2">
      <c r="A21" t="s">
        <v>134</v>
      </c>
      <c r="B21" t="s">
        <v>135</v>
      </c>
      <c r="C21" t="s">
        <v>136</v>
      </c>
      <c r="D21" t="s">
        <v>137</v>
      </c>
      <c r="F21" t="s">
        <v>29</v>
      </c>
      <c r="G21" t="s">
        <v>138</v>
      </c>
      <c r="H21" t="s">
        <v>139</v>
      </c>
      <c r="I21" t="s">
        <v>32</v>
      </c>
      <c r="Q21" t="s">
        <v>33</v>
      </c>
      <c r="U21" t="s">
        <v>34</v>
      </c>
    </row>
    <row r="22" spans="1:21" x14ac:dyDescent="0.2">
      <c r="A22" t="s">
        <v>140</v>
      </c>
      <c r="B22" t="s">
        <v>141</v>
      </c>
      <c r="C22" t="s">
        <v>142</v>
      </c>
      <c r="D22" t="s">
        <v>143</v>
      </c>
      <c r="E22">
        <v>2</v>
      </c>
      <c r="F22" t="s">
        <v>144</v>
      </c>
      <c r="G22" t="s">
        <v>145</v>
      </c>
      <c r="H22" t="s">
        <v>146</v>
      </c>
      <c r="I22" t="s">
        <v>32</v>
      </c>
      <c r="Q22" t="s">
        <v>33</v>
      </c>
      <c r="U22" t="s">
        <v>34</v>
      </c>
    </row>
    <row r="23" spans="1:21" x14ac:dyDescent="0.2">
      <c r="A23" t="s">
        <v>147</v>
      </c>
      <c r="B23" t="s">
        <v>148</v>
      </c>
      <c r="C23" t="s">
        <v>149</v>
      </c>
      <c r="D23" t="s">
        <v>150</v>
      </c>
      <c r="F23" t="s">
        <v>151</v>
      </c>
      <c r="G23" t="s">
        <v>152</v>
      </c>
      <c r="H23" t="s">
        <v>153</v>
      </c>
      <c r="I23" t="s">
        <v>154</v>
      </c>
      <c r="Q23" t="s">
        <v>33</v>
      </c>
      <c r="U23" t="s">
        <v>34</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7E78-BC6D-214E-9923-6C8967F545C5}">
  <dimension ref="A1:AO11"/>
  <sheetViews>
    <sheetView zoomScale="90" zoomScaleNormal="90" workbookViewId="0"/>
  </sheetViews>
  <sheetFormatPr baseColWidth="10" defaultRowHeight="16" x14ac:dyDescent="0.2"/>
  <sheetData>
    <row r="1" spans="1:41" ht="19" x14ac:dyDescent="0.25">
      <c r="A1" s="4" t="s">
        <v>155</v>
      </c>
    </row>
    <row r="3" spans="1:41" x14ac:dyDescent="0.2">
      <c r="A3" s="3" t="s">
        <v>156</v>
      </c>
      <c r="B3" s="3" t="s">
        <v>1</v>
      </c>
      <c r="C3" s="3" t="s">
        <v>157</v>
      </c>
      <c r="D3" s="3" t="s">
        <v>158</v>
      </c>
      <c r="E3" s="5" t="s">
        <v>159</v>
      </c>
      <c r="F3" s="5" t="s">
        <v>160</v>
      </c>
      <c r="G3" s="5" t="s">
        <v>161</v>
      </c>
      <c r="H3" s="3" t="s">
        <v>11</v>
      </c>
      <c r="I3" s="3" t="s">
        <v>12</v>
      </c>
      <c r="J3" s="3" t="s">
        <v>162</v>
      </c>
      <c r="K3" s="3" t="s">
        <v>163</v>
      </c>
      <c r="L3" s="3" t="s">
        <v>164</v>
      </c>
      <c r="M3" s="3" t="s">
        <v>165</v>
      </c>
      <c r="N3" s="3" t="s">
        <v>166</v>
      </c>
      <c r="O3" s="3" t="s">
        <v>167</v>
      </c>
      <c r="P3" s="3" t="s">
        <v>168</v>
      </c>
      <c r="Q3" s="3" t="s">
        <v>169</v>
      </c>
      <c r="R3" s="3" t="s">
        <v>170</v>
      </c>
      <c r="S3" s="3" t="s">
        <v>171</v>
      </c>
      <c r="T3" s="3" t="s">
        <v>172</v>
      </c>
      <c r="U3" s="3" t="s">
        <v>173</v>
      </c>
      <c r="V3" s="6" t="s">
        <v>174</v>
      </c>
      <c r="W3" s="3" t="s">
        <v>6</v>
      </c>
      <c r="X3" s="3" t="s">
        <v>7</v>
      </c>
      <c r="Y3" s="3" t="s">
        <v>175</v>
      </c>
      <c r="Z3" s="3" t="s">
        <v>176</v>
      </c>
      <c r="AA3" s="3" t="s">
        <v>177</v>
      </c>
      <c r="AB3" s="3" t="s">
        <v>178</v>
      </c>
      <c r="AC3" s="3" t="s">
        <v>179</v>
      </c>
      <c r="AD3" s="3" t="s">
        <v>180</v>
      </c>
      <c r="AE3" s="3" t="s">
        <v>181</v>
      </c>
      <c r="AF3" s="3" t="s">
        <v>182</v>
      </c>
      <c r="AG3" s="6" t="s">
        <v>183</v>
      </c>
      <c r="AH3" s="6" t="s">
        <v>184</v>
      </c>
      <c r="AI3" s="6" t="s">
        <v>185</v>
      </c>
      <c r="AJ3" s="6" t="s">
        <v>186</v>
      </c>
      <c r="AK3" s="3" t="s">
        <v>187</v>
      </c>
      <c r="AL3" s="3" t="s">
        <v>188</v>
      </c>
      <c r="AM3" s="3" t="s">
        <v>189</v>
      </c>
      <c r="AN3" s="3" t="s">
        <v>190</v>
      </c>
      <c r="AO3" s="3" t="s">
        <v>24</v>
      </c>
    </row>
    <row r="4" spans="1:41" x14ac:dyDescent="0.2">
      <c r="A4" t="s">
        <v>191</v>
      </c>
      <c r="B4" t="s">
        <v>25</v>
      </c>
      <c r="C4" t="s">
        <v>192</v>
      </c>
      <c r="D4" t="s">
        <v>193</v>
      </c>
      <c r="E4" t="s">
        <v>33</v>
      </c>
      <c r="F4" t="s">
        <v>194</v>
      </c>
      <c r="G4" t="s">
        <v>195</v>
      </c>
      <c r="H4" t="s">
        <v>196</v>
      </c>
      <c r="I4" t="s">
        <v>197</v>
      </c>
      <c r="J4" s="7">
        <v>12.4</v>
      </c>
      <c r="K4" s="7">
        <v>8.1999999999999993</v>
      </c>
      <c r="L4">
        <v>48000</v>
      </c>
      <c r="M4">
        <v>24</v>
      </c>
      <c r="N4" t="s">
        <v>198</v>
      </c>
      <c r="O4" t="s">
        <v>61</v>
      </c>
      <c r="P4" t="s">
        <v>199</v>
      </c>
      <c r="Q4" t="s">
        <v>33</v>
      </c>
      <c r="R4" t="s">
        <v>200</v>
      </c>
      <c r="V4" t="s">
        <v>27</v>
      </c>
      <c r="W4" t="s">
        <v>102</v>
      </c>
      <c r="X4" t="s">
        <v>201</v>
      </c>
      <c r="Y4" t="s">
        <v>202</v>
      </c>
      <c r="AB4" t="s">
        <v>203</v>
      </c>
      <c r="AC4" t="s">
        <v>203</v>
      </c>
      <c r="AD4" t="s">
        <v>33</v>
      </c>
      <c r="AM4" t="s">
        <v>204</v>
      </c>
    </row>
    <row r="5" spans="1:41" x14ac:dyDescent="0.2">
      <c r="A5" t="s">
        <v>205</v>
      </c>
      <c r="B5" t="s">
        <v>55</v>
      </c>
      <c r="C5" t="s">
        <v>206</v>
      </c>
      <c r="D5" t="s">
        <v>193</v>
      </c>
      <c r="E5" t="s">
        <v>33</v>
      </c>
      <c r="F5" t="s">
        <v>194</v>
      </c>
      <c r="G5" t="s">
        <v>195</v>
      </c>
      <c r="H5" t="s">
        <v>207</v>
      </c>
      <c r="I5" t="s">
        <v>208</v>
      </c>
      <c r="J5" s="7">
        <v>4.8</v>
      </c>
      <c r="K5" s="7">
        <v>6.5</v>
      </c>
      <c r="L5">
        <v>96000</v>
      </c>
      <c r="M5">
        <v>24</v>
      </c>
      <c r="N5" t="s">
        <v>198</v>
      </c>
      <c r="O5" t="s">
        <v>61</v>
      </c>
      <c r="P5" t="s">
        <v>209</v>
      </c>
      <c r="Q5" t="s">
        <v>33</v>
      </c>
      <c r="R5" t="s">
        <v>210</v>
      </c>
      <c r="V5" t="s">
        <v>57</v>
      </c>
      <c r="W5" t="s">
        <v>59</v>
      </c>
      <c r="X5" t="s">
        <v>211</v>
      </c>
      <c r="Y5" t="s">
        <v>212</v>
      </c>
      <c r="AC5" t="s">
        <v>33</v>
      </c>
      <c r="AM5" t="s">
        <v>204</v>
      </c>
    </row>
    <row r="6" spans="1:41" x14ac:dyDescent="0.2">
      <c r="A6" t="s">
        <v>213</v>
      </c>
      <c r="B6" t="s">
        <v>78</v>
      </c>
      <c r="C6" t="s">
        <v>214</v>
      </c>
      <c r="D6" t="s">
        <v>215</v>
      </c>
      <c r="E6" t="s">
        <v>33</v>
      </c>
      <c r="F6" t="s">
        <v>194</v>
      </c>
      <c r="G6" t="s">
        <v>216</v>
      </c>
      <c r="H6" t="s">
        <v>217</v>
      </c>
      <c r="I6">
        <v>2.4</v>
      </c>
      <c r="J6">
        <v>4.2</v>
      </c>
      <c r="K6">
        <v>44100</v>
      </c>
      <c r="L6">
        <v>24</v>
      </c>
      <c r="M6">
        <v>2</v>
      </c>
      <c r="N6" t="s">
        <v>61</v>
      </c>
      <c r="O6" t="s">
        <v>216</v>
      </c>
      <c r="P6" t="s">
        <v>33</v>
      </c>
      <c r="U6" t="s">
        <v>80</v>
      </c>
      <c r="V6" t="s">
        <v>218</v>
      </c>
      <c r="W6" t="s">
        <v>219</v>
      </c>
      <c r="X6" t="s">
        <v>220</v>
      </c>
      <c r="Y6">
        <v>120</v>
      </c>
      <c r="Z6" t="s">
        <v>221</v>
      </c>
      <c r="AA6" t="s">
        <v>203</v>
      </c>
      <c r="AB6" t="s">
        <v>33</v>
      </c>
      <c r="AF6" t="s">
        <v>222</v>
      </c>
      <c r="AG6" t="s">
        <v>223</v>
      </c>
      <c r="AH6">
        <v>92</v>
      </c>
      <c r="AI6" t="s">
        <v>224</v>
      </c>
      <c r="AL6" t="s">
        <v>225</v>
      </c>
    </row>
    <row r="7" spans="1:41" x14ac:dyDescent="0.2">
      <c r="A7" t="s">
        <v>226</v>
      </c>
      <c r="B7" t="s">
        <v>41</v>
      </c>
      <c r="C7" t="s">
        <v>227</v>
      </c>
      <c r="D7" t="s">
        <v>228</v>
      </c>
      <c r="E7" t="s">
        <v>33</v>
      </c>
      <c r="F7" t="s">
        <v>229</v>
      </c>
      <c r="G7" t="s">
        <v>31</v>
      </c>
      <c r="H7" t="s">
        <v>230</v>
      </c>
      <c r="I7">
        <v>0.04</v>
      </c>
      <c r="N7" t="s">
        <v>231</v>
      </c>
      <c r="O7" t="s">
        <v>31</v>
      </c>
      <c r="P7" t="s">
        <v>33</v>
      </c>
      <c r="U7" t="s">
        <v>43</v>
      </c>
      <c r="V7" t="s">
        <v>232</v>
      </c>
      <c r="W7" t="s">
        <v>233</v>
      </c>
      <c r="Z7" t="s">
        <v>234</v>
      </c>
      <c r="AC7" t="s">
        <v>33</v>
      </c>
      <c r="AD7">
        <v>4</v>
      </c>
      <c r="AE7">
        <v>6</v>
      </c>
      <c r="AF7" t="s">
        <v>235</v>
      </c>
      <c r="AG7" t="s">
        <v>236</v>
      </c>
      <c r="AH7">
        <v>98</v>
      </c>
      <c r="AL7" t="s">
        <v>204</v>
      </c>
    </row>
    <row r="8" spans="1:41" x14ac:dyDescent="0.2">
      <c r="A8" t="s">
        <v>237</v>
      </c>
      <c r="B8" t="s">
        <v>238</v>
      </c>
      <c r="C8" t="s">
        <v>239</v>
      </c>
      <c r="E8" s="8" t="s">
        <v>203</v>
      </c>
      <c r="F8" s="9" t="s">
        <v>240</v>
      </c>
      <c r="G8" s="11" t="s">
        <v>241</v>
      </c>
      <c r="H8" t="s">
        <v>242</v>
      </c>
      <c r="I8">
        <v>8.6999999999999993</v>
      </c>
      <c r="N8" t="s">
        <v>243</v>
      </c>
      <c r="AF8" s="12" t="s">
        <v>244</v>
      </c>
      <c r="AG8" t="s">
        <v>245</v>
      </c>
      <c r="AH8">
        <v>75</v>
      </c>
      <c r="AI8" t="s">
        <v>246</v>
      </c>
      <c r="AL8" s="14" t="s">
        <v>247</v>
      </c>
      <c r="AN8" t="s">
        <v>248</v>
      </c>
    </row>
    <row r="9" spans="1:41" x14ac:dyDescent="0.2">
      <c r="A9" t="s">
        <v>249</v>
      </c>
      <c r="B9" t="s">
        <v>238</v>
      </c>
      <c r="C9" t="s">
        <v>250</v>
      </c>
      <c r="E9" s="8" t="s">
        <v>203</v>
      </c>
      <c r="F9" s="15" t="s">
        <v>229</v>
      </c>
      <c r="G9" s="10" t="s">
        <v>251</v>
      </c>
      <c r="H9" t="s">
        <v>252</v>
      </c>
      <c r="I9">
        <v>2E-3</v>
      </c>
      <c r="N9" t="s">
        <v>253</v>
      </c>
      <c r="AF9" t="s">
        <v>254</v>
      </c>
      <c r="AG9" t="s">
        <v>255</v>
      </c>
      <c r="AH9">
        <v>85</v>
      </c>
      <c r="AL9" s="14" t="s">
        <v>247</v>
      </c>
      <c r="AN9" t="s">
        <v>256</v>
      </c>
    </row>
    <row r="10" spans="1:41" x14ac:dyDescent="0.2">
      <c r="A10" t="s">
        <v>257</v>
      </c>
      <c r="B10" t="s">
        <v>64</v>
      </c>
      <c r="C10" t="s">
        <v>258</v>
      </c>
      <c r="D10" t="s">
        <v>215</v>
      </c>
      <c r="E10" t="s">
        <v>33</v>
      </c>
      <c r="F10" t="s">
        <v>194</v>
      </c>
      <c r="G10" t="s">
        <v>216</v>
      </c>
      <c r="H10" t="s">
        <v>259</v>
      </c>
      <c r="I10">
        <v>3.1</v>
      </c>
      <c r="J10">
        <v>1.8</v>
      </c>
      <c r="K10">
        <v>96000</v>
      </c>
      <c r="L10">
        <v>24</v>
      </c>
      <c r="M10">
        <v>2</v>
      </c>
      <c r="N10" t="s">
        <v>199</v>
      </c>
      <c r="O10" t="s">
        <v>199</v>
      </c>
      <c r="P10" t="s">
        <v>33</v>
      </c>
      <c r="Q10" t="s">
        <v>260</v>
      </c>
      <c r="T10" t="s">
        <v>261</v>
      </c>
      <c r="U10" t="s">
        <v>66</v>
      </c>
      <c r="V10" t="s">
        <v>262</v>
      </c>
      <c r="W10" t="s">
        <v>263</v>
      </c>
      <c r="X10" t="s">
        <v>264</v>
      </c>
      <c r="AB10" t="s">
        <v>33</v>
      </c>
      <c r="AF10" t="s">
        <v>265</v>
      </c>
      <c r="AG10" t="s">
        <v>266</v>
      </c>
      <c r="AH10">
        <v>99</v>
      </c>
      <c r="AL10" t="s">
        <v>267</v>
      </c>
    </row>
    <row r="11" spans="1:41" x14ac:dyDescent="0.2">
      <c r="A11" t="s">
        <v>268</v>
      </c>
      <c r="B11" t="s">
        <v>147</v>
      </c>
      <c r="C11" t="s">
        <v>269</v>
      </c>
      <c r="D11" t="s">
        <v>270</v>
      </c>
      <c r="E11" t="s">
        <v>33</v>
      </c>
      <c r="F11" t="s">
        <v>229</v>
      </c>
      <c r="G11" t="s">
        <v>271</v>
      </c>
      <c r="H11" t="s">
        <v>272</v>
      </c>
      <c r="I11">
        <v>0.01</v>
      </c>
      <c r="N11" t="s">
        <v>271</v>
      </c>
      <c r="O11" t="s">
        <v>273</v>
      </c>
      <c r="P11" t="s">
        <v>33</v>
      </c>
      <c r="U11" t="s">
        <v>149</v>
      </c>
      <c r="V11" t="s">
        <v>274</v>
      </c>
      <c r="W11" t="s">
        <v>275</v>
      </c>
      <c r="X11" t="s">
        <v>276</v>
      </c>
      <c r="AF11" t="s">
        <v>277</v>
      </c>
      <c r="AG11" t="s">
        <v>278</v>
      </c>
      <c r="AH11">
        <v>97</v>
      </c>
      <c r="AL11" t="s">
        <v>204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532FF-FD3F-4D45-8C31-2C077C7C0E37}">
  <dimension ref="A1:U8"/>
  <sheetViews>
    <sheetView workbookViewId="0"/>
  </sheetViews>
  <sheetFormatPr baseColWidth="10" defaultRowHeight="16" x14ac:dyDescent="0.2"/>
  <sheetData>
    <row r="1" spans="1:21" ht="19" x14ac:dyDescent="0.25">
      <c r="A1" s="1" t="s">
        <v>279</v>
      </c>
    </row>
    <row r="2" spans="1:21" x14ac:dyDescent="0.2">
      <c r="A2" s="16" t="s">
        <v>280</v>
      </c>
    </row>
    <row r="3" spans="1:21" x14ac:dyDescent="0.2">
      <c r="A3" s="3" t="s">
        <v>156</v>
      </c>
      <c r="B3" s="3" t="s">
        <v>281</v>
      </c>
      <c r="C3" s="17" t="s">
        <v>282</v>
      </c>
      <c r="D3" s="17" t="s">
        <v>283</v>
      </c>
      <c r="E3" s="17" t="s">
        <v>284</v>
      </c>
      <c r="F3" s="17" t="s">
        <v>285</v>
      </c>
      <c r="G3" s="17" t="s">
        <v>286</v>
      </c>
      <c r="H3" s="17" t="s">
        <v>287</v>
      </c>
      <c r="I3" s="17" t="s">
        <v>288</v>
      </c>
      <c r="J3" s="17" t="s">
        <v>289</v>
      </c>
      <c r="K3" s="17" t="s">
        <v>290</v>
      </c>
      <c r="L3" s="17" t="s">
        <v>291</v>
      </c>
      <c r="M3" s="18" t="s">
        <v>186</v>
      </c>
      <c r="N3" s="18" t="s">
        <v>292</v>
      </c>
      <c r="O3" s="3" t="s">
        <v>293</v>
      </c>
      <c r="P3" s="3" t="s">
        <v>294</v>
      </c>
      <c r="Q3" s="5" t="s">
        <v>295</v>
      </c>
      <c r="R3" s="5" t="s">
        <v>296</v>
      </c>
      <c r="S3" s="3" t="s">
        <v>297</v>
      </c>
      <c r="T3" s="3" t="s">
        <v>298</v>
      </c>
      <c r="U3" s="3" t="s">
        <v>24</v>
      </c>
    </row>
    <row r="4" spans="1:21" x14ac:dyDescent="0.2">
      <c r="A4" t="s">
        <v>191</v>
      </c>
      <c r="B4" t="s">
        <v>299</v>
      </c>
      <c r="C4" t="s">
        <v>300</v>
      </c>
      <c r="D4" t="s">
        <v>300</v>
      </c>
      <c r="E4" t="s">
        <v>300</v>
      </c>
      <c r="F4" t="s">
        <v>300</v>
      </c>
      <c r="G4" t="s">
        <v>300</v>
      </c>
      <c r="H4" t="s">
        <v>300</v>
      </c>
      <c r="I4" t="s">
        <v>300</v>
      </c>
      <c r="J4" t="s">
        <v>300</v>
      </c>
      <c r="K4" t="s">
        <v>300</v>
      </c>
      <c r="L4" t="s">
        <v>300</v>
      </c>
      <c r="M4" t="s">
        <v>301</v>
      </c>
      <c r="N4" t="s">
        <v>302</v>
      </c>
      <c r="O4" s="20">
        <v>45672</v>
      </c>
      <c r="P4">
        <f>12</f>
        <v>12</v>
      </c>
      <c r="R4">
        <v>0</v>
      </c>
      <c r="S4" t="s">
        <v>303</v>
      </c>
      <c r="T4" s="21">
        <f>COUNTIF(C4:L4,"✓")/10</f>
        <v>1</v>
      </c>
      <c r="U4" t="s">
        <v>304</v>
      </c>
    </row>
    <row r="5" spans="1:21" x14ac:dyDescent="0.2">
      <c r="A5" t="s">
        <v>205</v>
      </c>
      <c r="B5" t="s">
        <v>305</v>
      </c>
      <c r="C5" t="s">
        <v>300</v>
      </c>
      <c r="D5" t="s">
        <v>300</v>
      </c>
      <c r="E5" t="s">
        <v>300</v>
      </c>
      <c r="F5" t="s">
        <v>300</v>
      </c>
      <c r="G5" t="s">
        <v>300</v>
      </c>
      <c r="H5" t="s">
        <v>300</v>
      </c>
      <c r="M5" t="s">
        <v>301</v>
      </c>
      <c r="N5" t="s">
        <v>302</v>
      </c>
      <c r="O5" s="20">
        <v>45671</v>
      </c>
      <c r="P5">
        <v>8</v>
      </c>
      <c r="R5">
        <v>0</v>
      </c>
      <c r="S5" t="s">
        <v>306</v>
      </c>
      <c r="T5" s="21">
        <f>COUNTIF(C5:L5,"✓")/10</f>
        <v>0.6</v>
      </c>
      <c r="U5" t="s">
        <v>307</v>
      </c>
    </row>
    <row r="6" spans="1:21" x14ac:dyDescent="0.2">
      <c r="A6" t="s">
        <v>213</v>
      </c>
      <c r="B6" t="s">
        <v>308</v>
      </c>
      <c r="C6" t="s">
        <v>300</v>
      </c>
      <c r="D6" t="s">
        <v>300</v>
      </c>
      <c r="E6" t="s">
        <v>300</v>
      </c>
      <c r="F6" t="s">
        <v>300</v>
      </c>
      <c r="M6" t="s">
        <v>309</v>
      </c>
      <c r="N6" t="s">
        <v>310</v>
      </c>
      <c r="O6" s="20">
        <v>45670</v>
      </c>
      <c r="P6">
        <v>4</v>
      </c>
      <c r="R6">
        <v>0</v>
      </c>
      <c r="S6" t="s">
        <v>311</v>
      </c>
      <c r="T6" s="21">
        <f>COUNTIF(C6:L6,"✓")/10</f>
        <v>0.4</v>
      </c>
      <c r="U6" t="s">
        <v>312</v>
      </c>
    </row>
    <row r="7" spans="1:21" x14ac:dyDescent="0.2">
      <c r="A7" t="s">
        <v>237</v>
      </c>
      <c r="B7" s="22" t="s">
        <v>239</v>
      </c>
      <c r="C7" t="s">
        <v>300</v>
      </c>
      <c r="D7" t="s">
        <v>300</v>
      </c>
      <c r="E7" t="s">
        <v>300</v>
      </c>
      <c r="F7" s="23" t="s">
        <v>313</v>
      </c>
      <c r="M7" t="s">
        <v>314</v>
      </c>
      <c r="N7" t="s">
        <v>315</v>
      </c>
      <c r="O7" s="20">
        <v>45672</v>
      </c>
      <c r="P7">
        <v>3</v>
      </c>
      <c r="Q7" s="24" t="s">
        <v>316</v>
      </c>
      <c r="R7">
        <v>2</v>
      </c>
      <c r="S7" s="8" t="s">
        <v>247</v>
      </c>
      <c r="T7" s="21">
        <f>COUNTIF(C7:L7,"✓")/10</f>
        <v>0.3</v>
      </c>
      <c r="U7" t="s">
        <v>317</v>
      </c>
    </row>
    <row r="8" spans="1:21" x14ac:dyDescent="0.2">
      <c r="A8" t="s">
        <v>249</v>
      </c>
      <c r="B8" s="22" t="s">
        <v>250</v>
      </c>
      <c r="C8" t="s">
        <v>300</v>
      </c>
      <c r="D8" t="s">
        <v>300</v>
      </c>
      <c r="E8" t="s">
        <v>300</v>
      </c>
      <c r="N8" t="s">
        <v>315</v>
      </c>
      <c r="O8" s="20">
        <v>45672</v>
      </c>
      <c r="P8">
        <v>1</v>
      </c>
      <c r="Q8" s="24" t="s">
        <v>318</v>
      </c>
      <c r="R8">
        <v>0</v>
      </c>
      <c r="S8" s="25" t="s">
        <v>319</v>
      </c>
      <c r="T8" s="21">
        <f>COUNTIF(C8:L8,"✓")/10</f>
        <v>0.3</v>
      </c>
      <c r="U8" t="s">
        <v>320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70910-2A9D-6349-9A18-860C22B79F05}">
  <dimension ref="A1:K18"/>
  <sheetViews>
    <sheetView workbookViewId="0"/>
  </sheetViews>
  <sheetFormatPr baseColWidth="10" defaultRowHeight="16" x14ac:dyDescent="0.2"/>
  <sheetData>
    <row r="1" spans="1:11" ht="19" x14ac:dyDescent="0.25">
      <c r="A1" s="1" t="s">
        <v>321</v>
      </c>
    </row>
    <row r="2" spans="1:11" x14ac:dyDescent="0.2">
      <c r="A2" s="16" t="s">
        <v>322</v>
      </c>
    </row>
    <row r="3" spans="1:11" x14ac:dyDescent="0.2">
      <c r="A3" s="2" t="s">
        <v>323</v>
      </c>
      <c r="B3" s="2" t="s">
        <v>324</v>
      </c>
      <c r="C3" s="2" t="s">
        <v>325</v>
      </c>
      <c r="D3" s="2" t="s">
        <v>326</v>
      </c>
      <c r="E3" s="2" t="s">
        <v>327</v>
      </c>
      <c r="F3" s="2" t="s">
        <v>328</v>
      </c>
      <c r="G3" s="2" t="s">
        <v>329</v>
      </c>
      <c r="H3" s="2" t="s">
        <v>330</v>
      </c>
      <c r="I3" s="2" t="s">
        <v>331</v>
      </c>
      <c r="J3" s="2" t="s">
        <v>724</v>
      </c>
      <c r="K3" s="2" t="s">
        <v>24</v>
      </c>
    </row>
    <row r="4" spans="1:11" x14ac:dyDescent="0.2">
      <c r="A4" t="s">
        <v>332</v>
      </c>
      <c r="B4" t="s">
        <v>27</v>
      </c>
      <c r="C4" t="s">
        <v>333</v>
      </c>
      <c r="D4" t="s">
        <v>334</v>
      </c>
      <c r="E4" t="s">
        <v>335</v>
      </c>
      <c r="F4" t="s">
        <v>336</v>
      </c>
      <c r="G4" t="s">
        <v>337</v>
      </c>
      <c r="H4" t="s">
        <v>338</v>
      </c>
      <c r="I4" t="s">
        <v>339</v>
      </c>
    </row>
    <row r="5" spans="1:11" x14ac:dyDescent="0.2">
      <c r="A5" t="s">
        <v>340</v>
      </c>
      <c r="B5" t="s">
        <v>43</v>
      </c>
      <c r="C5" t="s">
        <v>341</v>
      </c>
      <c r="D5" t="s">
        <v>342</v>
      </c>
      <c r="E5" t="s">
        <v>343</v>
      </c>
      <c r="F5" t="s">
        <v>344</v>
      </c>
      <c r="G5" t="s">
        <v>345</v>
      </c>
      <c r="H5" t="s">
        <v>346</v>
      </c>
      <c r="I5" t="s">
        <v>347</v>
      </c>
      <c r="K5" t="s">
        <v>348</v>
      </c>
    </row>
    <row r="6" spans="1:11" x14ac:dyDescent="0.2">
      <c r="A6" t="s">
        <v>349</v>
      </c>
      <c r="B6" t="s">
        <v>37</v>
      </c>
      <c r="C6" t="s">
        <v>350</v>
      </c>
      <c r="D6" t="s">
        <v>351</v>
      </c>
      <c r="E6" t="s">
        <v>352</v>
      </c>
      <c r="F6" t="s">
        <v>353</v>
      </c>
      <c r="G6" t="s">
        <v>354</v>
      </c>
      <c r="H6" t="s">
        <v>355</v>
      </c>
      <c r="I6" t="s">
        <v>356</v>
      </c>
      <c r="K6" t="s">
        <v>357</v>
      </c>
    </row>
    <row r="7" spans="1:11" x14ac:dyDescent="0.2">
      <c r="A7" t="s">
        <v>358</v>
      </c>
      <c r="B7" t="s">
        <v>50</v>
      </c>
      <c r="C7" t="s">
        <v>359</v>
      </c>
      <c r="D7" t="s">
        <v>360</v>
      </c>
      <c r="E7" t="s">
        <v>361</v>
      </c>
      <c r="F7" t="s">
        <v>362</v>
      </c>
      <c r="G7" t="s">
        <v>363</v>
      </c>
      <c r="H7" t="s">
        <v>364</v>
      </c>
      <c r="I7" t="s">
        <v>365</v>
      </c>
      <c r="K7" t="s">
        <v>366</v>
      </c>
    </row>
    <row r="8" spans="1:11" x14ac:dyDescent="0.2">
      <c r="A8" t="s">
        <v>367</v>
      </c>
      <c r="B8" t="s">
        <v>57</v>
      </c>
      <c r="C8" t="s">
        <v>368</v>
      </c>
      <c r="D8" t="s">
        <v>369</v>
      </c>
      <c r="E8" t="s">
        <v>370</v>
      </c>
      <c r="F8" t="s">
        <v>371</v>
      </c>
      <c r="G8" t="s">
        <v>372</v>
      </c>
      <c r="H8" t="s">
        <v>373</v>
      </c>
      <c r="I8" t="s">
        <v>374</v>
      </c>
      <c r="K8" t="s">
        <v>375</v>
      </c>
    </row>
    <row r="9" spans="1:11" x14ac:dyDescent="0.2">
      <c r="A9" t="s">
        <v>376</v>
      </c>
      <c r="B9" t="s">
        <v>66</v>
      </c>
      <c r="C9" t="s">
        <v>377</v>
      </c>
      <c r="D9" t="s">
        <v>378</v>
      </c>
      <c r="E9" t="s">
        <v>379</v>
      </c>
      <c r="F9" t="s">
        <v>380</v>
      </c>
      <c r="G9" t="s">
        <v>381</v>
      </c>
      <c r="H9" t="s">
        <v>382</v>
      </c>
      <c r="I9" t="s">
        <v>383</v>
      </c>
      <c r="K9" t="s">
        <v>384</v>
      </c>
    </row>
    <row r="10" spans="1:11" x14ac:dyDescent="0.2">
      <c r="A10" t="s">
        <v>385</v>
      </c>
      <c r="B10" t="s">
        <v>80</v>
      </c>
      <c r="C10" t="s">
        <v>386</v>
      </c>
      <c r="D10" t="s">
        <v>387</v>
      </c>
      <c r="E10" t="s">
        <v>388</v>
      </c>
      <c r="F10" t="s">
        <v>389</v>
      </c>
      <c r="G10" t="s">
        <v>390</v>
      </c>
      <c r="H10" t="s">
        <v>391</v>
      </c>
      <c r="I10" t="s">
        <v>392</v>
      </c>
      <c r="K10" t="s">
        <v>393</v>
      </c>
    </row>
    <row r="11" spans="1:11" x14ac:dyDescent="0.2">
      <c r="A11" t="s">
        <v>394</v>
      </c>
      <c r="B11" t="s">
        <v>89</v>
      </c>
      <c r="C11" t="s">
        <v>395</v>
      </c>
      <c r="D11" t="s">
        <v>396</v>
      </c>
      <c r="E11" t="s">
        <v>397</v>
      </c>
      <c r="F11" t="s">
        <v>398</v>
      </c>
      <c r="G11" t="s">
        <v>399</v>
      </c>
      <c r="H11" t="s">
        <v>382</v>
      </c>
      <c r="I11" t="s">
        <v>400</v>
      </c>
      <c r="K11" t="s">
        <v>401</v>
      </c>
    </row>
    <row r="12" spans="1:11" x14ac:dyDescent="0.2">
      <c r="A12" t="s">
        <v>402</v>
      </c>
      <c r="B12" t="s">
        <v>94</v>
      </c>
      <c r="C12" t="s">
        <v>403</v>
      </c>
      <c r="D12" t="s">
        <v>404</v>
      </c>
      <c r="E12" t="s">
        <v>405</v>
      </c>
      <c r="F12" t="s">
        <v>406</v>
      </c>
      <c r="G12" t="s">
        <v>399</v>
      </c>
      <c r="H12" t="s">
        <v>382</v>
      </c>
      <c r="I12" t="s">
        <v>407</v>
      </c>
      <c r="K12" t="s">
        <v>408</v>
      </c>
    </row>
    <row r="13" spans="1:11" x14ac:dyDescent="0.2">
      <c r="A13" t="s">
        <v>409</v>
      </c>
      <c r="B13" t="s">
        <v>100</v>
      </c>
      <c r="C13" t="s">
        <v>410</v>
      </c>
      <c r="D13" t="s">
        <v>411</v>
      </c>
      <c r="E13" t="s">
        <v>412</v>
      </c>
      <c r="F13" t="s">
        <v>413</v>
      </c>
      <c r="G13" t="s">
        <v>414</v>
      </c>
      <c r="H13" t="s">
        <v>415</v>
      </c>
      <c r="I13" t="s">
        <v>416</v>
      </c>
      <c r="K13" t="s">
        <v>417</v>
      </c>
    </row>
    <row r="14" spans="1:11" x14ac:dyDescent="0.2">
      <c r="A14" t="s">
        <v>418</v>
      </c>
      <c r="B14" t="s">
        <v>105</v>
      </c>
      <c r="C14" t="s">
        <v>419</v>
      </c>
      <c r="D14" t="s">
        <v>420</v>
      </c>
      <c r="E14" t="s">
        <v>421</v>
      </c>
      <c r="F14" t="s">
        <v>422</v>
      </c>
      <c r="G14" t="s">
        <v>423</v>
      </c>
      <c r="H14" t="s">
        <v>424</v>
      </c>
      <c r="I14" t="s">
        <v>425</v>
      </c>
      <c r="K14" t="s">
        <v>426</v>
      </c>
    </row>
    <row r="15" spans="1:11" x14ac:dyDescent="0.2">
      <c r="A15" t="s">
        <v>427</v>
      </c>
      <c r="B15" t="s">
        <v>110</v>
      </c>
      <c r="C15" t="s">
        <v>428</v>
      </c>
      <c r="D15" t="s">
        <v>429</v>
      </c>
      <c r="E15" t="s">
        <v>430</v>
      </c>
      <c r="F15" t="s">
        <v>353</v>
      </c>
      <c r="G15" t="s">
        <v>431</v>
      </c>
      <c r="H15" t="s">
        <v>355</v>
      </c>
      <c r="I15" t="s">
        <v>432</v>
      </c>
      <c r="K15" t="s">
        <v>433</v>
      </c>
    </row>
    <row r="16" spans="1:11" x14ac:dyDescent="0.2">
      <c r="A16" t="s">
        <v>434</v>
      </c>
      <c r="B16" t="s">
        <v>114</v>
      </c>
      <c r="C16" t="s">
        <v>435</v>
      </c>
      <c r="D16" t="s">
        <v>436</v>
      </c>
      <c r="E16" t="s">
        <v>437</v>
      </c>
      <c r="F16" t="s">
        <v>413</v>
      </c>
      <c r="G16" t="s">
        <v>438</v>
      </c>
      <c r="H16" t="s">
        <v>382</v>
      </c>
      <c r="I16" t="s">
        <v>439</v>
      </c>
      <c r="K16" t="s">
        <v>440</v>
      </c>
    </row>
    <row r="17" spans="1:11" x14ac:dyDescent="0.2">
      <c r="A17" t="s">
        <v>441</v>
      </c>
      <c r="B17" t="s">
        <v>120</v>
      </c>
      <c r="C17" t="s">
        <v>442</v>
      </c>
      <c r="D17" t="s">
        <v>443</v>
      </c>
      <c r="E17" t="s">
        <v>444</v>
      </c>
      <c r="F17" t="s">
        <v>445</v>
      </c>
      <c r="G17" t="s">
        <v>399</v>
      </c>
      <c r="H17" t="s">
        <v>382</v>
      </c>
      <c r="I17" t="s">
        <v>446</v>
      </c>
      <c r="K17" t="s">
        <v>447</v>
      </c>
    </row>
    <row r="18" spans="1:11" x14ac:dyDescent="0.2">
      <c r="A18" t="s">
        <v>448</v>
      </c>
      <c r="B18" t="s">
        <v>125</v>
      </c>
      <c r="C18" t="s">
        <v>449</v>
      </c>
      <c r="D18" t="s">
        <v>450</v>
      </c>
      <c r="E18" t="s">
        <v>451</v>
      </c>
      <c r="F18" t="s">
        <v>452</v>
      </c>
      <c r="G18" t="s">
        <v>453</v>
      </c>
      <c r="H18" t="s">
        <v>454</v>
      </c>
      <c r="I18" t="s">
        <v>455</v>
      </c>
      <c r="K18" t="s">
        <v>456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67EFB-7589-1F4D-9C19-6DE029D62D6D}">
  <dimension ref="A1:J69"/>
  <sheetViews>
    <sheetView workbookViewId="0"/>
  </sheetViews>
  <sheetFormatPr baseColWidth="10" defaultRowHeight="16" x14ac:dyDescent="0.2"/>
  <sheetData>
    <row r="1" spans="1:10" ht="19" x14ac:dyDescent="0.25">
      <c r="A1" s="4" t="s">
        <v>457</v>
      </c>
    </row>
    <row r="2" spans="1:10" x14ac:dyDescent="0.2">
      <c r="A2" s="16" t="s">
        <v>458</v>
      </c>
    </row>
    <row r="3" spans="1:10" x14ac:dyDescent="0.2">
      <c r="A3" s="3" t="s">
        <v>459</v>
      </c>
      <c r="B3" s="3" t="s">
        <v>460</v>
      </c>
      <c r="C3" s="3" t="s">
        <v>461</v>
      </c>
      <c r="D3" s="3" t="s">
        <v>462</v>
      </c>
      <c r="E3" s="3" t="s">
        <v>6</v>
      </c>
      <c r="F3" s="3" t="s">
        <v>463</v>
      </c>
      <c r="G3" s="3" t="s">
        <v>464</v>
      </c>
      <c r="H3" s="3" t="s">
        <v>465</v>
      </c>
      <c r="I3" s="18" t="s">
        <v>466</v>
      </c>
      <c r="J3" s="3" t="s">
        <v>24</v>
      </c>
    </row>
    <row r="4" spans="1:10" x14ac:dyDescent="0.2">
      <c r="A4" t="s">
        <v>467</v>
      </c>
      <c r="B4" t="s">
        <v>468</v>
      </c>
      <c r="C4" t="s">
        <v>469</v>
      </c>
      <c r="D4" t="s">
        <v>27</v>
      </c>
      <c r="E4" t="s">
        <v>470</v>
      </c>
      <c r="F4" t="s">
        <v>471</v>
      </c>
      <c r="G4" t="s">
        <v>157</v>
      </c>
      <c r="H4" t="s">
        <v>472</v>
      </c>
      <c r="I4" t="s">
        <v>473</v>
      </c>
      <c r="J4" t="s">
        <v>474</v>
      </c>
    </row>
    <row r="5" spans="1:10" x14ac:dyDescent="0.2">
      <c r="A5" t="s">
        <v>475</v>
      </c>
      <c r="B5" t="s">
        <v>476</v>
      </c>
      <c r="C5" t="s">
        <v>469</v>
      </c>
      <c r="D5" t="s">
        <v>57</v>
      </c>
      <c r="E5" t="s">
        <v>470</v>
      </c>
      <c r="F5" t="s">
        <v>471</v>
      </c>
      <c r="G5" t="s">
        <v>157</v>
      </c>
      <c r="H5" t="s">
        <v>477</v>
      </c>
      <c r="I5" t="s">
        <v>478</v>
      </c>
    </row>
    <row r="6" spans="1:10" x14ac:dyDescent="0.2">
      <c r="A6" t="s">
        <v>479</v>
      </c>
      <c r="B6" t="s">
        <v>480</v>
      </c>
      <c r="C6" t="s">
        <v>469</v>
      </c>
      <c r="D6" t="s">
        <v>66</v>
      </c>
      <c r="E6" t="s">
        <v>470</v>
      </c>
      <c r="F6" t="s">
        <v>471</v>
      </c>
      <c r="G6" t="s">
        <v>157</v>
      </c>
      <c r="H6" t="s">
        <v>481</v>
      </c>
      <c r="I6" t="s">
        <v>482</v>
      </c>
    </row>
    <row r="7" spans="1:10" x14ac:dyDescent="0.2">
      <c r="A7" t="s">
        <v>483</v>
      </c>
      <c r="B7" t="s">
        <v>228</v>
      </c>
      <c r="C7" t="s">
        <v>484</v>
      </c>
      <c r="D7" t="s">
        <v>485</v>
      </c>
      <c r="E7" t="s">
        <v>486</v>
      </c>
      <c r="F7" t="s">
        <v>487</v>
      </c>
      <c r="G7" t="s">
        <v>158</v>
      </c>
      <c r="H7" t="s">
        <v>488</v>
      </c>
      <c r="I7" t="s">
        <v>489</v>
      </c>
      <c r="J7" t="s">
        <v>490</v>
      </c>
    </row>
    <row r="8" spans="1:10" x14ac:dyDescent="0.2">
      <c r="A8" t="s">
        <v>491</v>
      </c>
      <c r="B8" t="s">
        <v>492</v>
      </c>
      <c r="C8" t="s">
        <v>484</v>
      </c>
      <c r="D8" t="s">
        <v>493</v>
      </c>
      <c r="E8" t="s">
        <v>486</v>
      </c>
      <c r="F8" t="s">
        <v>487</v>
      </c>
      <c r="G8" t="s">
        <v>158</v>
      </c>
      <c r="H8" t="s">
        <v>494</v>
      </c>
      <c r="I8" t="s">
        <v>495</v>
      </c>
    </row>
    <row r="9" spans="1:10" x14ac:dyDescent="0.2">
      <c r="A9" t="s">
        <v>496</v>
      </c>
      <c r="B9" t="s">
        <v>216</v>
      </c>
      <c r="C9" t="s">
        <v>497</v>
      </c>
      <c r="D9" t="s">
        <v>498</v>
      </c>
      <c r="E9" t="s">
        <v>499</v>
      </c>
      <c r="F9" t="s">
        <v>487</v>
      </c>
      <c r="G9" t="s">
        <v>500</v>
      </c>
      <c r="H9" t="s">
        <v>501</v>
      </c>
      <c r="I9" t="s">
        <v>502</v>
      </c>
      <c r="J9" t="s">
        <v>503</v>
      </c>
    </row>
    <row r="10" spans="1:10" x14ac:dyDescent="0.2">
      <c r="A10" t="s">
        <v>504</v>
      </c>
      <c r="B10" t="s">
        <v>505</v>
      </c>
      <c r="C10" t="s">
        <v>497</v>
      </c>
      <c r="D10" t="s">
        <v>506</v>
      </c>
      <c r="E10" t="s">
        <v>499</v>
      </c>
      <c r="F10" t="s">
        <v>487</v>
      </c>
      <c r="G10" t="s">
        <v>500</v>
      </c>
      <c r="H10" t="s">
        <v>507</v>
      </c>
      <c r="I10" t="s">
        <v>508</v>
      </c>
    </row>
    <row r="11" spans="1:10" x14ac:dyDescent="0.2">
      <c r="A11" t="s">
        <v>509</v>
      </c>
      <c r="B11" t="s">
        <v>510</v>
      </c>
      <c r="C11" t="s">
        <v>497</v>
      </c>
      <c r="D11" t="s">
        <v>511</v>
      </c>
      <c r="E11" t="s">
        <v>499</v>
      </c>
      <c r="F11" t="s">
        <v>487</v>
      </c>
      <c r="G11" t="s">
        <v>500</v>
      </c>
      <c r="H11" t="s">
        <v>512</v>
      </c>
      <c r="I11" t="s">
        <v>513</v>
      </c>
    </row>
    <row r="12" spans="1:10" x14ac:dyDescent="0.2">
      <c r="A12" t="s">
        <v>514</v>
      </c>
      <c r="B12" t="s">
        <v>515</v>
      </c>
      <c r="C12" t="s">
        <v>497</v>
      </c>
      <c r="D12" t="s">
        <v>516</v>
      </c>
      <c r="E12" t="s">
        <v>499</v>
      </c>
      <c r="F12" t="s">
        <v>487</v>
      </c>
      <c r="G12" t="s">
        <v>500</v>
      </c>
      <c r="H12" t="s">
        <v>517</v>
      </c>
      <c r="I12" t="s">
        <v>518</v>
      </c>
    </row>
    <row r="13" spans="1:10" x14ac:dyDescent="0.2">
      <c r="A13" t="s">
        <v>519</v>
      </c>
      <c r="B13" t="s">
        <v>520</v>
      </c>
      <c r="C13" t="s">
        <v>497</v>
      </c>
      <c r="D13" t="s">
        <v>521</v>
      </c>
      <c r="E13" t="s">
        <v>499</v>
      </c>
      <c r="F13" t="s">
        <v>471</v>
      </c>
      <c r="G13" t="s">
        <v>522</v>
      </c>
      <c r="H13" t="s">
        <v>523</v>
      </c>
      <c r="I13" t="s">
        <v>524</v>
      </c>
    </row>
    <row r="14" spans="1:10" x14ac:dyDescent="0.2">
      <c r="A14" t="s">
        <v>525</v>
      </c>
      <c r="B14" t="s">
        <v>526</v>
      </c>
      <c r="C14" t="s">
        <v>497</v>
      </c>
      <c r="D14" t="s">
        <v>527</v>
      </c>
      <c r="E14" t="s">
        <v>499</v>
      </c>
      <c r="F14" t="s">
        <v>487</v>
      </c>
      <c r="G14" t="s">
        <v>500</v>
      </c>
      <c r="H14" t="s">
        <v>528</v>
      </c>
      <c r="I14" t="s">
        <v>529</v>
      </c>
    </row>
    <row r="15" spans="1:10" x14ac:dyDescent="0.2">
      <c r="A15" t="s">
        <v>530</v>
      </c>
      <c r="B15" t="s">
        <v>531</v>
      </c>
      <c r="C15" t="s">
        <v>497</v>
      </c>
      <c r="D15" t="s">
        <v>532</v>
      </c>
      <c r="E15" t="s">
        <v>229</v>
      </c>
      <c r="F15" t="s">
        <v>533</v>
      </c>
      <c r="G15" t="s">
        <v>534</v>
      </c>
      <c r="H15" t="s">
        <v>535</v>
      </c>
      <c r="I15" t="s">
        <v>536</v>
      </c>
      <c r="J15" t="s">
        <v>537</v>
      </c>
    </row>
    <row r="16" spans="1:10" x14ac:dyDescent="0.2">
      <c r="A16" t="s">
        <v>538</v>
      </c>
      <c r="B16" t="s">
        <v>539</v>
      </c>
      <c r="C16" t="s">
        <v>540</v>
      </c>
      <c r="D16" t="s">
        <v>541</v>
      </c>
      <c r="E16" t="s">
        <v>542</v>
      </c>
      <c r="F16" t="s">
        <v>471</v>
      </c>
      <c r="G16" t="s">
        <v>157</v>
      </c>
      <c r="H16" t="s">
        <v>543</v>
      </c>
      <c r="I16" t="s">
        <v>544</v>
      </c>
      <c r="J16" t="s">
        <v>545</v>
      </c>
    </row>
    <row r="17" spans="1:10" x14ac:dyDescent="0.2">
      <c r="A17" t="s">
        <v>546</v>
      </c>
      <c r="B17" t="s">
        <v>547</v>
      </c>
      <c r="C17" t="s">
        <v>540</v>
      </c>
      <c r="D17" t="s">
        <v>548</v>
      </c>
      <c r="E17" t="s">
        <v>549</v>
      </c>
      <c r="F17" t="s">
        <v>471</v>
      </c>
      <c r="G17" t="s">
        <v>157</v>
      </c>
      <c r="H17" t="s">
        <v>550</v>
      </c>
      <c r="I17" t="s">
        <v>551</v>
      </c>
    </row>
    <row r="18" spans="1:10" x14ac:dyDescent="0.2">
      <c r="A18" t="s">
        <v>552</v>
      </c>
      <c r="B18" t="s">
        <v>553</v>
      </c>
      <c r="C18" t="s">
        <v>540</v>
      </c>
      <c r="D18" t="s">
        <v>554</v>
      </c>
      <c r="E18" t="s">
        <v>542</v>
      </c>
      <c r="F18" t="s">
        <v>471</v>
      </c>
      <c r="G18" t="s">
        <v>157</v>
      </c>
      <c r="H18" t="s">
        <v>555</v>
      </c>
      <c r="I18" t="s">
        <v>556</v>
      </c>
    </row>
    <row r="19" spans="1:10" x14ac:dyDescent="0.2">
      <c r="A19" t="s">
        <v>557</v>
      </c>
      <c r="B19" t="s">
        <v>558</v>
      </c>
      <c r="C19" t="s">
        <v>559</v>
      </c>
      <c r="D19" t="s">
        <v>560</v>
      </c>
      <c r="E19" t="s">
        <v>561</v>
      </c>
      <c r="F19" t="s">
        <v>487</v>
      </c>
      <c r="G19" t="s">
        <v>562</v>
      </c>
      <c r="H19" t="s">
        <v>563</v>
      </c>
      <c r="I19" t="s">
        <v>564</v>
      </c>
      <c r="J19" t="s">
        <v>565</v>
      </c>
    </row>
    <row r="20" spans="1:10" x14ac:dyDescent="0.2">
      <c r="A20" t="s">
        <v>566</v>
      </c>
      <c r="B20" t="s">
        <v>567</v>
      </c>
      <c r="C20" t="s">
        <v>568</v>
      </c>
      <c r="D20" t="s">
        <v>569</v>
      </c>
      <c r="E20" t="s">
        <v>570</v>
      </c>
      <c r="F20" t="s">
        <v>571</v>
      </c>
      <c r="G20" t="s">
        <v>572</v>
      </c>
      <c r="H20" t="s">
        <v>573</v>
      </c>
      <c r="I20" t="s">
        <v>574</v>
      </c>
    </row>
    <row r="21" spans="1:10" x14ac:dyDescent="0.2">
      <c r="A21" t="s">
        <v>575</v>
      </c>
      <c r="B21" t="s">
        <v>576</v>
      </c>
      <c r="C21" t="s">
        <v>568</v>
      </c>
      <c r="D21" t="s">
        <v>577</v>
      </c>
      <c r="E21" t="s">
        <v>470</v>
      </c>
      <c r="F21" t="s">
        <v>487</v>
      </c>
      <c r="G21" t="s">
        <v>578</v>
      </c>
      <c r="H21" t="s">
        <v>579</v>
      </c>
      <c r="I21" t="s">
        <v>580</v>
      </c>
    </row>
    <row r="22" spans="1:10" x14ac:dyDescent="0.2">
      <c r="A22" t="s">
        <v>581</v>
      </c>
      <c r="B22" t="s">
        <v>582</v>
      </c>
      <c r="C22" t="s">
        <v>568</v>
      </c>
      <c r="D22" t="s">
        <v>583</v>
      </c>
      <c r="E22" t="s">
        <v>470</v>
      </c>
      <c r="F22" t="s">
        <v>487</v>
      </c>
      <c r="G22" t="s">
        <v>578</v>
      </c>
      <c r="H22" t="s">
        <v>584</v>
      </c>
      <c r="I22" t="s">
        <v>585</v>
      </c>
    </row>
    <row r="23" spans="1:10" x14ac:dyDescent="0.2">
      <c r="A23" t="s">
        <v>586</v>
      </c>
      <c r="B23" t="s">
        <v>587</v>
      </c>
      <c r="C23" t="s">
        <v>540</v>
      </c>
      <c r="D23" t="s">
        <v>588</v>
      </c>
      <c r="E23" t="s">
        <v>6</v>
      </c>
      <c r="F23" t="s">
        <v>471</v>
      </c>
      <c r="G23" t="s">
        <v>589</v>
      </c>
      <c r="H23" t="s">
        <v>590</v>
      </c>
      <c r="I23" t="s">
        <v>591</v>
      </c>
    </row>
    <row r="24" spans="1:10" x14ac:dyDescent="0.2">
      <c r="A24" t="s">
        <v>592</v>
      </c>
      <c r="B24" t="s">
        <v>593</v>
      </c>
      <c r="C24" t="s">
        <v>540</v>
      </c>
      <c r="D24" t="s">
        <v>594</v>
      </c>
      <c r="E24" t="s">
        <v>6</v>
      </c>
      <c r="F24" t="s">
        <v>471</v>
      </c>
      <c r="G24" t="s">
        <v>589</v>
      </c>
      <c r="H24" t="s">
        <v>595</v>
      </c>
      <c r="I24" t="s">
        <v>596</v>
      </c>
    </row>
    <row r="25" spans="1:10" x14ac:dyDescent="0.2">
      <c r="A25" t="s">
        <v>597</v>
      </c>
      <c r="B25" t="s">
        <v>598</v>
      </c>
      <c r="C25" t="s">
        <v>540</v>
      </c>
      <c r="D25" t="s">
        <v>599</v>
      </c>
      <c r="E25" t="s">
        <v>6</v>
      </c>
      <c r="F25" t="s">
        <v>471</v>
      </c>
      <c r="G25" t="s">
        <v>589</v>
      </c>
      <c r="H25" t="s">
        <v>600</v>
      </c>
      <c r="I25" t="s">
        <v>601</v>
      </c>
    </row>
    <row r="26" spans="1:10" x14ac:dyDescent="0.2">
      <c r="A26" s="39" t="s">
        <v>771</v>
      </c>
      <c r="B26" s="39" t="s">
        <v>738</v>
      </c>
      <c r="C26" s="39" t="s">
        <v>772</v>
      </c>
      <c r="D26" s="39" t="s">
        <v>773</v>
      </c>
      <c r="E26" s="39" t="s">
        <v>774</v>
      </c>
      <c r="F26" s="44" t="s">
        <v>471</v>
      </c>
      <c r="G26" s="39" t="s">
        <v>739</v>
      </c>
      <c r="H26" s="39" t="s">
        <v>775</v>
      </c>
      <c r="I26" s="39" t="s">
        <v>776</v>
      </c>
      <c r="J26" s="39" t="s">
        <v>777</v>
      </c>
    </row>
    <row r="27" spans="1:10" x14ac:dyDescent="0.2">
      <c r="A27" s="39" t="s">
        <v>778</v>
      </c>
      <c r="B27" s="39" t="s">
        <v>779</v>
      </c>
      <c r="C27" s="39" t="s">
        <v>780</v>
      </c>
      <c r="D27" s="39" t="s">
        <v>781</v>
      </c>
      <c r="E27" s="39" t="s">
        <v>774</v>
      </c>
      <c r="F27" s="45" t="s">
        <v>571</v>
      </c>
      <c r="G27" s="39" t="s">
        <v>739</v>
      </c>
      <c r="H27" s="39" t="s">
        <v>782</v>
      </c>
      <c r="I27" s="39" t="s">
        <v>783</v>
      </c>
      <c r="J27" s="39" t="s">
        <v>784</v>
      </c>
    </row>
    <row r="28" spans="1:10" x14ac:dyDescent="0.2">
      <c r="A28" s="39" t="s">
        <v>785</v>
      </c>
      <c r="B28" s="39" t="s">
        <v>747</v>
      </c>
      <c r="C28" s="39" t="s">
        <v>772</v>
      </c>
      <c r="D28" s="39" t="s">
        <v>786</v>
      </c>
      <c r="E28" s="39" t="s">
        <v>774</v>
      </c>
      <c r="F28" s="44" t="s">
        <v>471</v>
      </c>
      <c r="G28" s="39" t="s">
        <v>739</v>
      </c>
      <c r="H28" s="39" t="s">
        <v>787</v>
      </c>
      <c r="I28" s="39" t="s">
        <v>788</v>
      </c>
      <c r="J28" s="39" t="s">
        <v>789</v>
      </c>
    </row>
    <row r="29" spans="1:10" x14ac:dyDescent="0.2">
      <c r="A29" s="39" t="s">
        <v>790</v>
      </c>
      <c r="B29" s="39" t="s">
        <v>791</v>
      </c>
      <c r="C29" s="39" t="s">
        <v>780</v>
      </c>
      <c r="D29" s="39" t="s">
        <v>792</v>
      </c>
      <c r="E29" s="39" t="s">
        <v>774</v>
      </c>
      <c r="F29" s="45" t="s">
        <v>571</v>
      </c>
      <c r="G29" s="39" t="s">
        <v>739</v>
      </c>
      <c r="H29" s="39" t="s">
        <v>793</v>
      </c>
      <c r="I29" s="39" t="s">
        <v>794</v>
      </c>
      <c r="J29" s="39" t="s">
        <v>795</v>
      </c>
    </row>
    <row r="30" spans="1:10" x14ac:dyDescent="0.2">
      <c r="A30" s="39" t="s">
        <v>796</v>
      </c>
      <c r="B30" s="39" t="s">
        <v>755</v>
      </c>
      <c r="C30" s="39" t="s">
        <v>772</v>
      </c>
      <c r="D30" s="39" t="s">
        <v>797</v>
      </c>
      <c r="E30" s="39" t="s">
        <v>774</v>
      </c>
      <c r="F30" s="44" t="s">
        <v>471</v>
      </c>
      <c r="G30" s="39" t="s">
        <v>739</v>
      </c>
      <c r="H30" s="39" t="s">
        <v>798</v>
      </c>
      <c r="I30" s="39" t="s">
        <v>799</v>
      </c>
      <c r="J30" s="39" t="s">
        <v>800</v>
      </c>
    </row>
    <row r="31" spans="1:10" x14ac:dyDescent="0.2">
      <c r="A31" s="39" t="s">
        <v>801</v>
      </c>
      <c r="B31" s="39" t="s">
        <v>802</v>
      </c>
      <c r="C31" s="39" t="s">
        <v>780</v>
      </c>
      <c r="D31" s="39" t="s">
        <v>803</v>
      </c>
      <c r="E31" s="39" t="s">
        <v>774</v>
      </c>
      <c r="F31" s="45" t="s">
        <v>571</v>
      </c>
      <c r="G31" s="39" t="s">
        <v>739</v>
      </c>
      <c r="H31" s="39" t="s">
        <v>804</v>
      </c>
      <c r="I31" s="39" t="s">
        <v>805</v>
      </c>
      <c r="J31" s="39" t="s">
        <v>806</v>
      </c>
    </row>
    <row r="32" spans="1:10" x14ac:dyDescent="0.2">
      <c r="A32" s="83" t="s">
        <v>1013</v>
      </c>
      <c r="B32" s="83" t="s">
        <v>1014</v>
      </c>
      <c r="C32" s="83" t="s">
        <v>1015</v>
      </c>
      <c r="D32" s="83" t="s">
        <v>1016</v>
      </c>
      <c r="E32" s="83" t="s">
        <v>1017</v>
      </c>
      <c r="F32" s="84" t="s">
        <v>471</v>
      </c>
      <c r="G32" s="83" t="s">
        <v>1018</v>
      </c>
      <c r="H32" s="83" t="s">
        <v>1019</v>
      </c>
      <c r="I32" s="83" t="s">
        <v>1020</v>
      </c>
      <c r="J32" s="83" t="s">
        <v>1021</v>
      </c>
    </row>
    <row r="33" spans="1:10" x14ac:dyDescent="0.2">
      <c r="A33" s="83" t="s">
        <v>1022</v>
      </c>
      <c r="B33" s="83" t="s">
        <v>1023</v>
      </c>
      <c r="C33" s="83" t="s">
        <v>1015</v>
      </c>
      <c r="D33" s="83" t="s">
        <v>506</v>
      </c>
      <c r="E33" s="83" t="s">
        <v>1017</v>
      </c>
      <c r="F33" s="85" t="s">
        <v>471</v>
      </c>
      <c r="G33" s="83" t="s">
        <v>1018</v>
      </c>
      <c r="H33" s="83" t="s">
        <v>1024</v>
      </c>
      <c r="I33" s="83" t="s">
        <v>1025</v>
      </c>
      <c r="J33" s="83" t="s">
        <v>1026</v>
      </c>
    </row>
    <row r="34" spans="1:10" x14ac:dyDescent="0.2">
      <c r="A34" s="83" t="s">
        <v>1027</v>
      </c>
      <c r="B34" s="83" t="s">
        <v>517</v>
      </c>
      <c r="C34" s="83" t="s">
        <v>1015</v>
      </c>
      <c r="D34" s="83" t="s">
        <v>1028</v>
      </c>
      <c r="E34" s="83" t="s">
        <v>1017</v>
      </c>
      <c r="F34" s="84" t="s">
        <v>471</v>
      </c>
      <c r="G34" s="83" t="s">
        <v>1018</v>
      </c>
      <c r="H34" s="83" t="s">
        <v>515</v>
      </c>
      <c r="I34" s="83" t="s">
        <v>1029</v>
      </c>
      <c r="J34" s="83" t="s">
        <v>1030</v>
      </c>
    </row>
    <row r="35" spans="1:10" x14ac:dyDescent="0.2">
      <c r="A35" s="83" t="s">
        <v>1031</v>
      </c>
      <c r="B35" s="83" t="s">
        <v>512</v>
      </c>
      <c r="C35" s="83" t="s">
        <v>1015</v>
      </c>
      <c r="D35" s="83" t="s">
        <v>1032</v>
      </c>
      <c r="E35" s="83" t="s">
        <v>1017</v>
      </c>
      <c r="F35" s="85" t="s">
        <v>471</v>
      </c>
      <c r="G35" s="83" t="s">
        <v>1018</v>
      </c>
      <c r="H35" s="83" t="s">
        <v>510</v>
      </c>
      <c r="I35" s="86" t="s">
        <v>1033</v>
      </c>
      <c r="J35" s="83" t="s">
        <v>1034</v>
      </c>
    </row>
    <row r="36" spans="1:10" x14ac:dyDescent="0.2">
      <c r="A36" s="83" t="s">
        <v>1035</v>
      </c>
      <c r="B36" s="83" t="s">
        <v>1036</v>
      </c>
      <c r="C36" s="83" t="s">
        <v>1015</v>
      </c>
      <c r="D36" s="83" t="s">
        <v>521</v>
      </c>
      <c r="E36" s="83" t="s">
        <v>1017</v>
      </c>
      <c r="F36" s="84" t="s">
        <v>471</v>
      </c>
      <c r="G36" s="83" t="s">
        <v>1018</v>
      </c>
      <c r="H36" s="83" t="s">
        <v>1037</v>
      </c>
      <c r="I36" s="86" t="s">
        <v>1038</v>
      </c>
      <c r="J36" s="83" t="s">
        <v>1039</v>
      </c>
    </row>
    <row r="37" spans="1:10" x14ac:dyDescent="0.2">
      <c r="A37" s="83" t="s">
        <v>1040</v>
      </c>
      <c r="B37" s="83" t="s">
        <v>528</v>
      </c>
      <c r="C37" s="83" t="s">
        <v>1015</v>
      </c>
      <c r="D37" s="83" t="s">
        <v>1041</v>
      </c>
      <c r="E37" s="83" t="s">
        <v>1017</v>
      </c>
      <c r="F37" s="85" t="s">
        <v>471</v>
      </c>
      <c r="G37" s="83" t="s">
        <v>1042</v>
      </c>
      <c r="H37" s="83" t="s">
        <v>526</v>
      </c>
      <c r="I37" s="86" t="s">
        <v>1043</v>
      </c>
      <c r="J37" s="83" t="s">
        <v>1044</v>
      </c>
    </row>
    <row r="38" spans="1:10" x14ac:dyDescent="0.2">
      <c r="A38" s="83" t="s">
        <v>1045</v>
      </c>
      <c r="B38" s="83" t="s">
        <v>1046</v>
      </c>
      <c r="C38" s="83" t="s">
        <v>1015</v>
      </c>
      <c r="D38" s="83" t="s">
        <v>1047</v>
      </c>
      <c r="E38" s="83" t="s">
        <v>1017</v>
      </c>
      <c r="F38" s="84" t="s">
        <v>471</v>
      </c>
      <c r="G38" s="83" t="s">
        <v>1048</v>
      </c>
      <c r="H38" s="83" t="s">
        <v>1049</v>
      </c>
      <c r="I38" s="86" t="s">
        <v>1050</v>
      </c>
      <c r="J38" s="83" t="s">
        <v>1051</v>
      </c>
    </row>
    <row r="39" spans="1:10" x14ac:dyDescent="0.2">
      <c r="A39" s="83" t="s">
        <v>1052</v>
      </c>
      <c r="B39" s="83" t="s">
        <v>1053</v>
      </c>
      <c r="C39" s="83" t="s">
        <v>1015</v>
      </c>
      <c r="D39" s="83" t="s">
        <v>1054</v>
      </c>
      <c r="E39" s="83" t="s">
        <v>1017</v>
      </c>
      <c r="F39" s="85" t="s">
        <v>533</v>
      </c>
      <c r="G39" s="83" t="s">
        <v>1055</v>
      </c>
      <c r="H39" s="83" t="s">
        <v>1056</v>
      </c>
      <c r="I39" s="86" t="s">
        <v>1057</v>
      </c>
      <c r="J39" s="83" t="s">
        <v>1058</v>
      </c>
    </row>
    <row r="40" spans="1:10" x14ac:dyDescent="0.2">
      <c r="A40" s="83" t="s">
        <v>1059</v>
      </c>
      <c r="B40" s="83" t="s">
        <v>1060</v>
      </c>
      <c r="C40" s="83" t="s">
        <v>1015</v>
      </c>
      <c r="D40" s="83" t="s">
        <v>1061</v>
      </c>
      <c r="E40" s="83" t="s">
        <v>1017</v>
      </c>
      <c r="F40" s="84" t="s">
        <v>533</v>
      </c>
      <c r="G40" s="83" t="s">
        <v>1018</v>
      </c>
      <c r="H40" s="83" t="s">
        <v>1062</v>
      </c>
      <c r="I40" s="86" t="s">
        <v>1063</v>
      </c>
      <c r="J40" s="83" t="s">
        <v>1064</v>
      </c>
    </row>
    <row r="41" spans="1:10" x14ac:dyDescent="0.2">
      <c r="A41" s="83" t="s">
        <v>1065</v>
      </c>
      <c r="B41" s="83" t="s">
        <v>1066</v>
      </c>
      <c r="C41" s="83" t="s">
        <v>1015</v>
      </c>
      <c r="D41" s="83" t="s">
        <v>1067</v>
      </c>
      <c r="E41" s="83" t="s">
        <v>1017</v>
      </c>
      <c r="F41" s="85" t="s">
        <v>471</v>
      </c>
      <c r="G41" s="83" t="s">
        <v>1042</v>
      </c>
      <c r="H41" s="83" t="s">
        <v>1068</v>
      </c>
      <c r="I41" s="83" t="s">
        <v>1069</v>
      </c>
      <c r="J41" s="83" t="s">
        <v>1070</v>
      </c>
    </row>
    <row r="42" spans="1:10" x14ac:dyDescent="0.2">
      <c r="A42" s="83" t="s">
        <v>1071</v>
      </c>
      <c r="B42" s="83" t="s">
        <v>1072</v>
      </c>
      <c r="C42" s="83" t="s">
        <v>1073</v>
      </c>
      <c r="D42" s="83" t="s">
        <v>1074</v>
      </c>
      <c r="E42" s="83" t="s">
        <v>1075</v>
      </c>
      <c r="F42" s="84" t="s">
        <v>471</v>
      </c>
      <c r="G42" s="83" t="s">
        <v>43</v>
      </c>
      <c r="H42" s="83" t="s">
        <v>1076</v>
      </c>
      <c r="I42" s="83" t="s">
        <v>1077</v>
      </c>
      <c r="J42" s="83" t="s">
        <v>1078</v>
      </c>
    </row>
    <row r="43" spans="1:10" x14ac:dyDescent="0.2">
      <c r="A43" s="83" t="s">
        <v>1079</v>
      </c>
      <c r="B43" s="83" t="s">
        <v>492</v>
      </c>
      <c r="C43" s="83" t="s">
        <v>484</v>
      </c>
      <c r="D43" s="83" t="s">
        <v>1080</v>
      </c>
      <c r="E43" s="83" t="s">
        <v>1075</v>
      </c>
      <c r="F43" s="85" t="s">
        <v>471</v>
      </c>
      <c r="G43" s="83" t="s">
        <v>1081</v>
      </c>
      <c r="H43" s="83" t="s">
        <v>1082</v>
      </c>
      <c r="I43" s="83" t="s">
        <v>1083</v>
      </c>
      <c r="J43" s="83" t="s">
        <v>1084</v>
      </c>
    </row>
    <row r="44" spans="1:10" x14ac:dyDescent="0.2">
      <c r="A44" s="83" t="s">
        <v>1085</v>
      </c>
      <c r="B44" s="83" t="s">
        <v>1086</v>
      </c>
      <c r="C44" s="83" t="s">
        <v>1087</v>
      </c>
      <c r="D44" s="83" t="s">
        <v>1088</v>
      </c>
      <c r="E44" s="83" t="s">
        <v>1075</v>
      </c>
      <c r="F44" s="84" t="s">
        <v>471</v>
      </c>
      <c r="G44" s="83" t="s">
        <v>1089</v>
      </c>
      <c r="H44" s="83" t="s">
        <v>1090</v>
      </c>
      <c r="I44" s="83" t="s">
        <v>1091</v>
      </c>
      <c r="J44" s="83" t="s">
        <v>1092</v>
      </c>
    </row>
    <row r="45" spans="1:10" x14ac:dyDescent="0.2">
      <c r="A45" s="83" t="s">
        <v>1093</v>
      </c>
      <c r="B45" s="83" t="s">
        <v>1094</v>
      </c>
      <c r="C45" s="83" t="s">
        <v>1015</v>
      </c>
      <c r="D45" s="83" t="s">
        <v>1095</v>
      </c>
      <c r="E45" s="83" t="s">
        <v>1075</v>
      </c>
      <c r="F45" s="85" t="s">
        <v>471</v>
      </c>
      <c r="G45" s="83" t="s">
        <v>1018</v>
      </c>
      <c r="H45" s="83" t="s">
        <v>1096</v>
      </c>
      <c r="I45" s="83" t="s">
        <v>1097</v>
      </c>
      <c r="J45" s="83" t="s">
        <v>1098</v>
      </c>
    </row>
    <row r="46" spans="1:10" x14ac:dyDescent="0.2">
      <c r="A46" s="83" t="s">
        <v>1099</v>
      </c>
      <c r="B46" s="83" t="s">
        <v>1100</v>
      </c>
      <c r="C46" s="83" t="s">
        <v>1087</v>
      </c>
      <c r="D46" s="83" t="s">
        <v>1101</v>
      </c>
      <c r="E46" s="83" t="s">
        <v>1075</v>
      </c>
      <c r="F46" s="84" t="s">
        <v>471</v>
      </c>
      <c r="G46" s="83" t="s">
        <v>1102</v>
      </c>
      <c r="H46" s="83" t="s">
        <v>1103</v>
      </c>
      <c r="I46" s="83" t="s">
        <v>1104</v>
      </c>
      <c r="J46" s="83" t="s">
        <v>1105</v>
      </c>
    </row>
    <row r="47" spans="1:10" x14ac:dyDescent="0.2">
      <c r="A47" s="83" t="s">
        <v>1106</v>
      </c>
      <c r="B47" s="83" t="s">
        <v>1107</v>
      </c>
      <c r="C47" s="83" t="s">
        <v>1073</v>
      </c>
      <c r="D47" s="83" t="s">
        <v>1108</v>
      </c>
      <c r="E47" s="83" t="s">
        <v>1109</v>
      </c>
      <c r="F47" s="85" t="s">
        <v>533</v>
      </c>
      <c r="G47" s="83" t="s">
        <v>1110</v>
      </c>
      <c r="H47" s="83" t="s">
        <v>1111</v>
      </c>
      <c r="I47" s="83" t="s">
        <v>1112</v>
      </c>
      <c r="J47" s="83" t="s">
        <v>1113</v>
      </c>
    </row>
    <row r="48" spans="1:10" x14ac:dyDescent="0.2">
      <c r="A48" s="83" t="s">
        <v>1114</v>
      </c>
      <c r="B48" s="83" t="s">
        <v>1115</v>
      </c>
      <c r="C48" s="83" t="s">
        <v>1073</v>
      </c>
      <c r="D48" s="83" t="s">
        <v>1116</v>
      </c>
      <c r="E48" s="83" t="s">
        <v>1117</v>
      </c>
      <c r="F48" s="84" t="s">
        <v>471</v>
      </c>
      <c r="G48" s="83" t="s">
        <v>1118</v>
      </c>
      <c r="H48" s="83" t="s">
        <v>1119</v>
      </c>
      <c r="I48" s="83" t="s">
        <v>1120</v>
      </c>
      <c r="J48" s="83" t="s">
        <v>1121</v>
      </c>
    </row>
    <row r="49" spans="1:10" x14ac:dyDescent="0.2">
      <c r="A49" s="83" t="s">
        <v>1122</v>
      </c>
      <c r="B49" s="86" t="s">
        <v>1123</v>
      </c>
      <c r="C49" s="83" t="s">
        <v>1124</v>
      </c>
      <c r="D49" s="83" t="s">
        <v>1125</v>
      </c>
      <c r="E49" s="83" t="s">
        <v>1126</v>
      </c>
      <c r="F49" s="85" t="s">
        <v>471</v>
      </c>
      <c r="G49" s="83" t="s">
        <v>1127</v>
      </c>
      <c r="H49" s="83" t="s">
        <v>1128</v>
      </c>
      <c r="I49" s="83" t="s">
        <v>1129</v>
      </c>
      <c r="J49" s="83" t="s">
        <v>1130</v>
      </c>
    </row>
    <row r="50" spans="1:10" x14ac:dyDescent="0.2">
      <c r="A50" s="83" t="s">
        <v>1131</v>
      </c>
      <c r="B50" s="86" t="s">
        <v>1132</v>
      </c>
      <c r="C50" s="83" t="s">
        <v>1124</v>
      </c>
      <c r="D50" s="83" t="s">
        <v>560</v>
      </c>
      <c r="E50" s="83" t="s">
        <v>1126</v>
      </c>
      <c r="F50" s="84" t="s">
        <v>471</v>
      </c>
      <c r="G50" s="83" t="s">
        <v>1048</v>
      </c>
      <c r="H50" s="83" t="s">
        <v>1133</v>
      </c>
      <c r="I50" s="83" t="s">
        <v>1134</v>
      </c>
      <c r="J50" s="83" t="s">
        <v>1135</v>
      </c>
    </row>
    <row r="51" spans="1:10" x14ac:dyDescent="0.2">
      <c r="A51" s="83" t="s">
        <v>1136</v>
      </c>
      <c r="B51" s="86" t="s">
        <v>1137</v>
      </c>
      <c r="C51" s="83" t="s">
        <v>1124</v>
      </c>
      <c r="D51" s="83" t="s">
        <v>1138</v>
      </c>
      <c r="E51" s="83" t="s">
        <v>1126</v>
      </c>
      <c r="F51" s="85" t="s">
        <v>533</v>
      </c>
      <c r="G51" s="83" t="s">
        <v>1139</v>
      </c>
      <c r="H51" s="83" t="s">
        <v>1140</v>
      </c>
      <c r="I51" s="83" t="s">
        <v>1141</v>
      </c>
      <c r="J51" s="83" t="s">
        <v>1142</v>
      </c>
    </row>
    <row r="52" spans="1:10" x14ac:dyDescent="0.2">
      <c r="A52" s="83" t="s">
        <v>1143</v>
      </c>
      <c r="B52" s="83" t="s">
        <v>1144</v>
      </c>
      <c r="C52" s="83" t="s">
        <v>1145</v>
      </c>
      <c r="D52" s="83" t="s">
        <v>1146</v>
      </c>
      <c r="E52" s="83" t="s">
        <v>1126</v>
      </c>
      <c r="F52" s="84" t="s">
        <v>533</v>
      </c>
      <c r="G52" s="83" t="s">
        <v>1147</v>
      </c>
      <c r="H52" s="83" t="s">
        <v>1148</v>
      </c>
      <c r="I52" s="83" t="s">
        <v>1149</v>
      </c>
      <c r="J52" s="83" t="s">
        <v>1150</v>
      </c>
    </row>
    <row r="53" spans="1:10" x14ac:dyDescent="0.2">
      <c r="A53" s="83" t="s">
        <v>1151</v>
      </c>
      <c r="B53" s="83" t="s">
        <v>1152</v>
      </c>
      <c r="C53" s="83" t="s">
        <v>540</v>
      </c>
      <c r="D53" s="83" t="s">
        <v>1153</v>
      </c>
      <c r="E53" s="83" t="s">
        <v>1154</v>
      </c>
      <c r="F53" s="85" t="s">
        <v>471</v>
      </c>
      <c r="G53" s="83" t="s">
        <v>1139</v>
      </c>
      <c r="H53" s="83" t="s">
        <v>1155</v>
      </c>
      <c r="I53" s="83" t="s">
        <v>1156</v>
      </c>
      <c r="J53" s="83" t="s">
        <v>1157</v>
      </c>
    </row>
    <row r="54" spans="1:10" x14ac:dyDescent="0.2">
      <c r="A54" s="83" t="s">
        <v>1158</v>
      </c>
      <c r="B54" s="83" t="s">
        <v>1159</v>
      </c>
      <c r="C54" s="83" t="s">
        <v>540</v>
      </c>
      <c r="D54" s="83" t="s">
        <v>1160</v>
      </c>
      <c r="E54" s="83" t="s">
        <v>1154</v>
      </c>
      <c r="F54" s="84" t="s">
        <v>533</v>
      </c>
      <c r="G54" s="83" t="s">
        <v>1161</v>
      </c>
      <c r="H54" s="83" t="s">
        <v>1162</v>
      </c>
      <c r="I54" s="83" t="s">
        <v>1163</v>
      </c>
      <c r="J54" s="83" t="s">
        <v>1164</v>
      </c>
    </row>
    <row r="55" spans="1:10" x14ac:dyDescent="0.2">
      <c r="A55" s="83" t="s">
        <v>1165</v>
      </c>
      <c r="B55" s="83" t="s">
        <v>1166</v>
      </c>
      <c r="C55" s="83" t="s">
        <v>540</v>
      </c>
      <c r="D55" s="83" t="s">
        <v>1167</v>
      </c>
      <c r="E55" s="83" t="s">
        <v>1154</v>
      </c>
      <c r="F55" s="85" t="s">
        <v>471</v>
      </c>
      <c r="G55" s="83" t="s">
        <v>1168</v>
      </c>
      <c r="H55" s="83" t="s">
        <v>1169</v>
      </c>
      <c r="I55" s="83" t="s">
        <v>1170</v>
      </c>
      <c r="J55" s="83" t="s">
        <v>1171</v>
      </c>
    </row>
    <row r="56" spans="1:10" x14ac:dyDescent="0.2">
      <c r="A56" s="83" t="s">
        <v>1172</v>
      </c>
      <c r="B56" s="83" t="s">
        <v>1173</v>
      </c>
      <c r="C56" s="83" t="s">
        <v>540</v>
      </c>
      <c r="D56" s="83" t="s">
        <v>1174</v>
      </c>
      <c r="E56" s="83" t="s">
        <v>1154</v>
      </c>
      <c r="F56" s="84" t="s">
        <v>533</v>
      </c>
      <c r="G56" s="83" t="s">
        <v>1168</v>
      </c>
      <c r="H56" s="83" t="s">
        <v>1175</v>
      </c>
      <c r="I56" s="83" t="s">
        <v>1176</v>
      </c>
      <c r="J56" s="83" t="s">
        <v>1177</v>
      </c>
    </row>
    <row r="57" spans="1:10" x14ac:dyDescent="0.2">
      <c r="A57" s="83" t="s">
        <v>1178</v>
      </c>
      <c r="B57" s="83" t="s">
        <v>1179</v>
      </c>
      <c r="C57" s="83" t="s">
        <v>1180</v>
      </c>
      <c r="D57" s="83" t="s">
        <v>1181</v>
      </c>
      <c r="E57" s="83" t="s">
        <v>1154</v>
      </c>
      <c r="F57" s="85" t="s">
        <v>533</v>
      </c>
      <c r="G57" s="83" t="s">
        <v>29</v>
      </c>
      <c r="H57" s="83" t="s">
        <v>1182</v>
      </c>
      <c r="I57" s="83" t="s">
        <v>1183</v>
      </c>
      <c r="J57" s="83" t="s">
        <v>1184</v>
      </c>
    </row>
    <row r="58" spans="1:10" x14ac:dyDescent="0.2">
      <c r="A58" s="83" t="s">
        <v>1185</v>
      </c>
      <c r="B58" s="83" t="s">
        <v>1186</v>
      </c>
      <c r="C58" s="83" t="s">
        <v>1180</v>
      </c>
      <c r="D58" s="83" t="s">
        <v>1187</v>
      </c>
      <c r="E58" s="83" t="s">
        <v>1154</v>
      </c>
      <c r="F58" s="84" t="s">
        <v>471</v>
      </c>
      <c r="G58" s="83" t="s">
        <v>29</v>
      </c>
      <c r="H58" s="83" t="s">
        <v>1188</v>
      </c>
      <c r="I58" s="83" t="s">
        <v>1189</v>
      </c>
      <c r="J58" s="83" t="s">
        <v>1190</v>
      </c>
    </row>
    <row r="59" spans="1:10" x14ac:dyDescent="0.2">
      <c r="A59" s="83" t="s">
        <v>1191</v>
      </c>
      <c r="B59" s="83" t="s">
        <v>1192</v>
      </c>
      <c r="C59" s="83" t="s">
        <v>568</v>
      </c>
      <c r="D59" s="83" t="s">
        <v>1193</v>
      </c>
      <c r="E59" s="83" t="s">
        <v>1194</v>
      </c>
      <c r="F59" s="85" t="s">
        <v>471</v>
      </c>
      <c r="G59" s="83" t="s">
        <v>1018</v>
      </c>
      <c r="H59" s="83" t="s">
        <v>1195</v>
      </c>
      <c r="I59" s="83" t="s">
        <v>1196</v>
      </c>
      <c r="J59" s="83" t="s">
        <v>1197</v>
      </c>
    </row>
    <row r="60" spans="1:10" x14ac:dyDescent="0.2">
      <c r="A60" s="83" t="s">
        <v>1198</v>
      </c>
      <c r="B60" s="83" t="s">
        <v>1199</v>
      </c>
      <c r="C60" s="83" t="s">
        <v>1200</v>
      </c>
      <c r="D60" s="83" t="s">
        <v>1201</v>
      </c>
      <c r="E60" s="83" t="s">
        <v>1202</v>
      </c>
      <c r="F60" s="84" t="s">
        <v>471</v>
      </c>
      <c r="G60" s="83" t="s">
        <v>1203</v>
      </c>
      <c r="H60" s="83" t="s">
        <v>1204</v>
      </c>
      <c r="I60" s="83" t="s">
        <v>1205</v>
      </c>
      <c r="J60" s="83" t="s">
        <v>1206</v>
      </c>
    </row>
    <row r="61" spans="1:10" x14ac:dyDescent="0.2">
      <c r="A61" s="83" t="s">
        <v>1207</v>
      </c>
      <c r="B61" s="83" t="s">
        <v>1208</v>
      </c>
      <c r="C61" s="83" t="s">
        <v>484</v>
      </c>
      <c r="D61" s="83" t="s">
        <v>1209</v>
      </c>
      <c r="E61" s="83" t="s">
        <v>1202</v>
      </c>
      <c r="F61" s="85" t="s">
        <v>471</v>
      </c>
      <c r="G61" s="83" t="s">
        <v>1210</v>
      </c>
      <c r="H61" s="83" t="s">
        <v>1211</v>
      </c>
      <c r="I61" s="83" t="s">
        <v>1212</v>
      </c>
      <c r="J61" s="83" t="s">
        <v>1213</v>
      </c>
    </row>
    <row r="62" spans="1:10" x14ac:dyDescent="0.2">
      <c r="A62" s="83" t="s">
        <v>1214</v>
      </c>
      <c r="B62" s="83" t="s">
        <v>1215</v>
      </c>
      <c r="C62" s="83" t="s">
        <v>1216</v>
      </c>
      <c r="D62" s="83" t="s">
        <v>1217</v>
      </c>
      <c r="E62" s="83" t="s">
        <v>1202</v>
      </c>
      <c r="F62" s="84" t="s">
        <v>471</v>
      </c>
      <c r="G62" s="83" t="s">
        <v>1018</v>
      </c>
      <c r="H62" s="83" t="s">
        <v>1218</v>
      </c>
      <c r="I62" s="83" t="s">
        <v>1219</v>
      </c>
      <c r="J62" s="83" t="s">
        <v>1220</v>
      </c>
    </row>
    <row r="63" spans="1:10" x14ac:dyDescent="0.2">
      <c r="A63" s="83" t="s">
        <v>1221</v>
      </c>
      <c r="B63" s="83" t="s">
        <v>1222</v>
      </c>
      <c r="C63" s="83" t="s">
        <v>540</v>
      </c>
      <c r="D63" s="83" t="s">
        <v>1223</v>
      </c>
      <c r="E63" s="83" t="s">
        <v>1224</v>
      </c>
      <c r="F63" s="85" t="s">
        <v>533</v>
      </c>
      <c r="G63" s="83" t="s">
        <v>1018</v>
      </c>
      <c r="H63" s="83" t="s">
        <v>1225</v>
      </c>
      <c r="I63" s="83" t="s">
        <v>1226</v>
      </c>
      <c r="J63" s="83" t="s">
        <v>1227</v>
      </c>
    </row>
    <row r="64" spans="1:10" x14ac:dyDescent="0.2">
      <c r="A64" s="83" t="s">
        <v>1507</v>
      </c>
      <c r="B64" s="83" t="s">
        <v>1483</v>
      </c>
      <c r="C64" s="83" t="s">
        <v>1508</v>
      </c>
      <c r="D64" s="83" t="s">
        <v>1509</v>
      </c>
      <c r="E64" s="83" t="s">
        <v>1484</v>
      </c>
      <c r="F64" s="84" t="s">
        <v>471</v>
      </c>
      <c r="G64" s="83" t="s">
        <v>1510</v>
      </c>
      <c r="H64" s="83" t="s">
        <v>1511</v>
      </c>
      <c r="I64" s="83" t="s">
        <v>1512</v>
      </c>
      <c r="J64" s="83" t="s">
        <v>1513</v>
      </c>
    </row>
    <row r="65" spans="1:10" x14ac:dyDescent="0.2">
      <c r="A65" s="83" t="s">
        <v>1514</v>
      </c>
      <c r="B65" s="83" t="s">
        <v>1515</v>
      </c>
      <c r="C65" s="83" t="s">
        <v>540</v>
      </c>
      <c r="D65" s="83" t="s">
        <v>1516</v>
      </c>
      <c r="E65" s="83" t="s">
        <v>1484</v>
      </c>
      <c r="F65" s="85" t="s">
        <v>571</v>
      </c>
      <c r="G65" s="83" t="s">
        <v>1510</v>
      </c>
      <c r="H65" s="83" t="s">
        <v>1517</v>
      </c>
      <c r="I65" s="83" t="s">
        <v>1518</v>
      </c>
      <c r="J65" s="83" t="s">
        <v>1519</v>
      </c>
    </row>
    <row r="66" spans="1:10" x14ac:dyDescent="0.2">
      <c r="A66" s="83" t="s">
        <v>1520</v>
      </c>
      <c r="B66" s="83" t="s">
        <v>1492</v>
      </c>
      <c r="C66" s="83" t="s">
        <v>1508</v>
      </c>
      <c r="D66" s="83" t="s">
        <v>1521</v>
      </c>
      <c r="E66" s="83" t="s">
        <v>1484</v>
      </c>
      <c r="F66" s="84" t="s">
        <v>471</v>
      </c>
      <c r="G66" s="83" t="s">
        <v>1510</v>
      </c>
      <c r="H66" s="83" t="s">
        <v>1522</v>
      </c>
      <c r="I66" s="83" t="s">
        <v>1523</v>
      </c>
      <c r="J66" s="83" t="s">
        <v>1513</v>
      </c>
    </row>
    <row r="67" spans="1:10" x14ac:dyDescent="0.2">
      <c r="A67" s="83" t="s">
        <v>1524</v>
      </c>
      <c r="B67" s="83" t="s">
        <v>1525</v>
      </c>
      <c r="C67" s="83" t="s">
        <v>540</v>
      </c>
      <c r="D67" s="83" t="s">
        <v>1526</v>
      </c>
      <c r="E67" s="83" t="s">
        <v>1484</v>
      </c>
      <c r="F67" s="85" t="s">
        <v>571</v>
      </c>
      <c r="G67" s="83" t="s">
        <v>1510</v>
      </c>
      <c r="H67" s="83" t="s">
        <v>1527</v>
      </c>
      <c r="I67" s="83" t="s">
        <v>1528</v>
      </c>
      <c r="J67" s="83" t="s">
        <v>1519</v>
      </c>
    </row>
    <row r="68" spans="1:10" x14ac:dyDescent="0.2">
      <c r="A68" s="83" t="s">
        <v>1529</v>
      </c>
      <c r="B68" s="83" t="s">
        <v>1530</v>
      </c>
      <c r="C68" s="83" t="s">
        <v>540</v>
      </c>
      <c r="D68" s="83" t="s">
        <v>1531</v>
      </c>
      <c r="E68" s="83" t="s">
        <v>1532</v>
      </c>
      <c r="F68" s="84" t="s">
        <v>471</v>
      </c>
      <c r="G68" s="83" t="s">
        <v>1510</v>
      </c>
      <c r="H68" s="83" t="s">
        <v>1533</v>
      </c>
      <c r="I68" s="83" t="s">
        <v>1534</v>
      </c>
      <c r="J68" s="83" t="s">
        <v>1535</v>
      </c>
    </row>
    <row r="69" spans="1:10" x14ac:dyDescent="0.2">
      <c r="A69" s="83" t="s">
        <v>1536</v>
      </c>
      <c r="B69" s="83" t="s">
        <v>1502</v>
      </c>
      <c r="C69" s="83" t="s">
        <v>469</v>
      </c>
      <c r="D69" s="83" t="s">
        <v>1537</v>
      </c>
      <c r="E69" s="83" t="s">
        <v>1532</v>
      </c>
      <c r="F69" s="85" t="s">
        <v>571</v>
      </c>
      <c r="G69" s="83" t="s">
        <v>1510</v>
      </c>
      <c r="H69" s="83" t="s">
        <v>1538</v>
      </c>
      <c r="I69" s="86" t="s">
        <v>1539</v>
      </c>
      <c r="J69" s="83" t="s">
        <v>1519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44EFD-3C49-E247-8E45-6AD0D9E94CFA}">
  <dimension ref="A1:J23"/>
  <sheetViews>
    <sheetView zoomScale="108" workbookViewId="0"/>
  </sheetViews>
  <sheetFormatPr baseColWidth="10" defaultRowHeight="16" x14ac:dyDescent="0.2"/>
  <sheetData>
    <row r="1" spans="1:10" ht="19" x14ac:dyDescent="0.25">
      <c r="A1" s="1" t="s">
        <v>602</v>
      </c>
    </row>
    <row r="2" spans="1:10" x14ac:dyDescent="0.2">
      <c r="A2" s="26" t="s">
        <v>603</v>
      </c>
    </row>
    <row r="3" spans="1:10" x14ac:dyDescent="0.2">
      <c r="A3" s="2" t="s">
        <v>604</v>
      </c>
      <c r="B3" s="2" t="s">
        <v>605</v>
      </c>
      <c r="C3" s="2" t="s">
        <v>606</v>
      </c>
      <c r="D3" s="2" t="s">
        <v>607</v>
      </c>
      <c r="E3" s="2" t="s">
        <v>608</v>
      </c>
      <c r="F3" s="2" t="s">
        <v>609</v>
      </c>
      <c r="G3" s="2" t="s">
        <v>610</v>
      </c>
      <c r="H3" s="2" t="s">
        <v>611</v>
      </c>
      <c r="I3" s="2" t="s">
        <v>612</v>
      </c>
      <c r="J3" s="2" t="s">
        <v>24</v>
      </c>
    </row>
    <row r="4" spans="1:10" x14ac:dyDescent="0.2">
      <c r="A4" t="s">
        <v>613</v>
      </c>
      <c r="B4" t="s">
        <v>542</v>
      </c>
      <c r="C4" t="s">
        <v>102</v>
      </c>
      <c r="D4" t="s">
        <v>614</v>
      </c>
      <c r="F4" t="s">
        <v>615</v>
      </c>
      <c r="G4" t="s">
        <v>616</v>
      </c>
      <c r="H4" t="s">
        <v>102</v>
      </c>
      <c r="I4" t="s">
        <v>617</v>
      </c>
      <c r="J4" t="s">
        <v>618</v>
      </c>
    </row>
    <row r="5" spans="1:10" x14ac:dyDescent="0.2">
      <c r="A5" t="s">
        <v>619</v>
      </c>
      <c r="B5" t="s">
        <v>542</v>
      </c>
      <c r="C5" t="s">
        <v>620</v>
      </c>
      <c r="D5" t="s">
        <v>621</v>
      </c>
      <c r="F5" t="s">
        <v>622</v>
      </c>
      <c r="G5" t="s">
        <v>623</v>
      </c>
      <c r="H5" t="s">
        <v>620</v>
      </c>
      <c r="I5" t="s">
        <v>624</v>
      </c>
    </row>
    <row r="6" spans="1:10" x14ac:dyDescent="0.2">
      <c r="A6" t="s">
        <v>625</v>
      </c>
      <c r="B6" t="s">
        <v>542</v>
      </c>
      <c r="C6" t="s">
        <v>626</v>
      </c>
      <c r="D6" t="s">
        <v>627</v>
      </c>
      <c r="F6" t="s">
        <v>628</v>
      </c>
      <c r="G6" t="s">
        <v>629</v>
      </c>
      <c r="H6" t="s">
        <v>626</v>
      </c>
      <c r="I6" t="s">
        <v>630</v>
      </c>
    </row>
    <row r="7" spans="1:10" x14ac:dyDescent="0.2">
      <c r="A7" t="s">
        <v>631</v>
      </c>
      <c r="B7" t="s">
        <v>542</v>
      </c>
      <c r="C7" t="s">
        <v>144</v>
      </c>
      <c r="D7" t="s">
        <v>632</v>
      </c>
      <c r="F7" t="s">
        <v>633</v>
      </c>
      <c r="G7" t="s">
        <v>634</v>
      </c>
      <c r="H7" t="s">
        <v>144</v>
      </c>
      <c r="I7" t="s">
        <v>635</v>
      </c>
    </row>
    <row r="8" spans="1:10" x14ac:dyDescent="0.2">
      <c r="A8" t="s">
        <v>636</v>
      </c>
      <c r="B8" t="s">
        <v>542</v>
      </c>
      <c r="C8" t="s">
        <v>637</v>
      </c>
      <c r="D8" t="s">
        <v>638</v>
      </c>
      <c r="F8" t="s">
        <v>639</v>
      </c>
      <c r="G8" t="s">
        <v>640</v>
      </c>
      <c r="H8" t="s">
        <v>637</v>
      </c>
      <c r="I8" t="s">
        <v>641</v>
      </c>
    </row>
    <row r="9" spans="1:10" x14ac:dyDescent="0.2">
      <c r="A9" t="s">
        <v>642</v>
      </c>
      <c r="B9" t="s">
        <v>6</v>
      </c>
      <c r="C9" t="s">
        <v>59</v>
      </c>
      <c r="D9" t="s">
        <v>643</v>
      </c>
      <c r="F9" t="s">
        <v>644</v>
      </c>
      <c r="G9" t="s">
        <v>645</v>
      </c>
      <c r="H9" t="s">
        <v>59</v>
      </c>
      <c r="I9" t="s">
        <v>646</v>
      </c>
    </row>
    <row r="10" spans="1:10" x14ac:dyDescent="0.2">
      <c r="A10" t="s">
        <v>647</v>
      </c>
      <c r="B10" t="s">
        <v>6</v>
      </c>
      <c r="C10" t="s">
        <v>262</v>
      </c>
      <c r="D10" t="s">
        <v>648</v>
      </c>
      <c r="E10" t="s">
        <v>59</v>
      </c>
      <c r="F10" t="s">
        <v>649</v>
      </c>
      <c r="G10" t="s">
        <v>650</v>
      </c>
      <c r="H10" t="s">
        <v>262</v>
      </c>
      <c r="I10" t="s">
        <v>651</v>
      </c>
    </row>
    <row r="11" spans="1:10" x14ac:dyDescent="0.2">
      <c r="A11" t="s">
        <v>652</v>
      </c>
      <c r="B11" t="s">
        <v>653</v>
      </c>
      <c r="C11" t="s">
        <v>654</v>
      </c>
      <c r="D11" t="s">
        <v>655</v>
      </c>
      <c r="F11" t="s">
        <v>656</v>
      </c>
      <c r="G11" t="s">
        <v>657</v>
      </c>
      <c r="H11" t="s">
        <v>654</v>
      </c>
      <c r="I11" t="s">
        <v>658</v>
      </c>
    </row>
    <row r="12" spans="1:10" x14ac:dyDescent="0.2">
      <c r="A12" t="s">
        <v>659</v>
      </c>
      <c r="B12" t="s">
        <v>653</v>
      </c>
      <c r="C12" t="s">
        <v>660</v>
      </c>
      <c r="D12" t="s">
        <v>661</v>
      </c>
      <c r="F12" t="s">
        <v>662</v>
      </c>
      <c r="G12" t="s">
        <v>663</v>
      </c>
      <c r="H12" t="s">
        <v>660</v>
      </c>
      <c r="I12" t="s">
        <v>664</v>
      </c>
    </row>
    <row r="13" spans="1:10" x14ac:dyDescent="0.2">
      <c r="A13" t="s">
        <v>665</v>
      </c>
      <c r="B13" t="s">
        <v>653</v>
      </c>
      <c r="C13" t="s">
        <v>666</v>
      </c>
      <c r="D13" t="s">
        <v>667</v>
      </c>
      <c r="F13" t="s">
        <v>668</v>
      </c>
      <c r="G13" t="s">
        <v>669</v>
      </c>
      <c r="H13" t="s">
        <v>666</v>
      </c>
      <c r="I13" t="s">
        <v>670</v>
      </c>
    </row>
    <row r="14" spans="1:10" x14ac:dyDescent="0.2">
      <c r="A14" t="s">
        <v>671</v>
      </c>
      <c r="B14" t="s">
        <v>653</v>
      </c>
      <c r="C14" t="s">
        <v>58</v>
      </c>
      <c r="D14" t="s">
        <v>672</v>
      </c>
      <c r="F14" t="s">
        <v>673</v>
      </c>
      <c r="G14" t="s">
        <v>674</v>
      </c>
      <c r="H14" t="s">
        <v>58</v>
      </c>
      <c r="I14" t="s">
        <v>675</v>
      </c>
    </row>
    <row r="15" spans="1:10" x14ac:dyDescent="0.2">
      <c r="A15" t="s">
        <v>676</v>
      </c>
      <c r="B15" t="s">
        <v>486</v>
      </c>
      <c r="C15" t="s">
        <v>549</v>
      </c>
      <c r="D15" t="s">
        <v>677</v>
      </c>
      <c r="F15" t="s">
        <v>678</v>
      </c>
      <c r="G15" t="s">
        <v>679</v>
      </c>
      <c r="H15" t="s">
        <v>549</v>
      </c>
      <c r="I15" t="s">
        <v>680</v>
      </c>
    </row>
    <row r="16" spans="1:10" x14ac:dyDescent="0.2">
      <c r="A16" t="s">
        <v>681</v>
      </c>
      <c r="B16" t="s">
        <v>486</v>
      </c>
      <c r="C16" t="s">
        <v>682</v>
      </c>
      <c r="D16" t="s">
        <v>683</v>
      </c>
      <c r="F16" t="s">
        <v>684</v>
      </c>
      <c r="G16" t="s">
        <v>685</v>
      </c>
      <c r="H16" t="s">
        <v>682</v>
      </c>
      <c r="I16" t="s">
        <v>686</v>
      </c>
    </row>
    <row r="17" spans="1:9" x14ac:dyDescent="0.2">
      <c r="A17" t="s">
        <v>687</v>
      </c>
      <c r="B17" t="s">
        <v>486</v>
      </c>
      <c r="C17" t="s">
        <v>688</v>
      </c>
      <c r="D17" t="s">
        <v>689</v>
      </c>
      <c r="F17" t="s">
        <v>690</v>
      </c>
      <c r="G17" t="s">
        <v>691</v>
      </c>
      <c r="H17" t="s">
        <v>688</v>
      </c>
      <c r="I17" t="s">
        <v>692</v>
      </c>
    </row>
    <row r="18" spans="1:9" x14ac:dyDescent="0.2">
      <c r="A18" t="s">
        <v>693</v>
      </c>
      <c r="B18" t="s">
        <v>464</v>
      </c>
      <c r="C18" t="s">
        <v>32</v>
      </c>
      <c r="D18" t="s">
        <v>694</v>
      </c>
      <c r="F18" t="s">
        <v>695</v>
      </c>
      <c r="G18" t="s">
        <v>696</v>
      </c>
      <c r="H18" t="s">
        <v>32</v>
      </c>
      <c r="I18" t="s">
        <v>697</v>
      </c>
    </row>
    <row r="19" spans="1:9" x14ac:dyDescent="0.2">
      <c r="A19" t="s">
        <v>698</v>
      </c>
      <c r="B19" t="s">
        <v>464</v>
      </c>
      <c r="C19" t="s">
        <v>128</v>
      </c>
      <c r="D19" t="s">
        <v>699</v>
      </c>
      <c r="E19" t="s">
        <v>32</v>
      </c>
      <c r="F19" t="s">
        <v>700</v>
      </c>
      <c r="G19" t="s">
        <v>701</v>
      </c>
      <c r="H19" t="s">
        <v>128</v>
      </c>
      <c r="I19" t="s">
        <v>702</v>
      </c>
    </row>
    <row r="20" spans="1:9" x14ac:dyDescent="0.2">
      <c r="A20" t="s">
        <v>703</v>
      </c>
      <c r="B20" t="s">
        <v>464</v>
      </c>
      <c r="C20" t="s">
        <v>62</v>
      </c>
      <c r="D20" t="s">
        <v>704</v>
      </c>
      <c r="F20" t="s">
        <v>705</v>
      </c>
      <c r="G20" t="s">
        <v>706</v>
      </c>
      <c r="H20" t="s">
        <v>62</v>
      </c>
      <c r="I20" t="s">
        <v>707</v>
      </c>
    </row>
    <row r="21" spans="1:9" x14ac:dyDescent="0.2">
      <c r="A21" t="s">
        <v>708</v>
      </c>
      <c r="B21" t="s">
        <v>21</v>
      </c>
      <c r="C21" t="s">
        <v>267</v>
      </c>
      <c r="D21" t="s">
        <v>709</v>
      </c>
      <c r="F21" t="s">
        <v>710</v>
      </c>
      <c r="G21" t="s">
        <v>711</v>
      </c>
      <c r="H21" t="s">
        <v>267</v>
      </c>
      <c r="I21" t="s">
        <v>712</v>
      </c>
    </row>
    <row r="22" spans="1:9" x14ac:dyDescent="0.2">
      <c r="A22" t="s">
        <v>713</v>
      </c>
      <c r="B22" t="s">
        <v>21</v>
      </c>
      <c r="C22" t="s">
        <v>714</v>
      </c>
      <c r="D22" t="s">
        <v>715</v>
      </c>
      <c r="F22" t="s">
        <v>716</v>
      </c>
      <c r="G22" t="s">
        <v>717</v>
      </c>
      <c r="H22" t="s">
        <v>714</v>
      </c>
      <c r="I22" t="s">
        <v>239</v>
      </c>
    </row>
    <row r="23" spans="1:9" x14ac:dyDescent="0.2">
      <c r="A23" t="s">
        <v>718</v>
      </c>
      <c r="B23" t="s">
        <v>21</v>
      </c>
      <c r="C23" t="s">
        <v>719</v>
      </c>
      <c r="D23" t="s">
        <v>720</v>
      </c>
      <c r="F23" t="s">
        <v>721</v>
      </c>
      <c r="G23" t="s">
        <v>722</v>
      </c>
      <c r="H23" t="s">
        <v>719</v>
      </c>
      <c r="I23" t="s">
        <v>723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5AEE-9D88-D848-9054-592C80C48B92}">
  <dimension ref="A1:AA23"/>
  <sheetViews>
    <sheetView workbookViewId="0"/>
  </sheetViews>
  <sheetFormatPr baseColWidth="10" defaultRowHeight="16" x14ac:dyDescent="0.2"/>
  <cols>
    <col min="1" max="24" width="18.33203125" customWidth="1"/>
  </cols>
  <sheetData>
    <row r="1" spans="1:27" ht="32" customHeight="1" x14ac:dyDescent="0.2">
      <c r="A1" s="408" t="s">
        <v>0</v>
      </c>
      <c r="B1" s="408"/>
      <c r="C1" s="408"/>
      <c r="D1" s="408"/>
      <c r="E1" s="408"/>
      <c r="F1" s="408"/>
      <c r="G1" s="408"/>
      <c r="H1" s="408"/>
      <c r="I1" s="408"/>
      <c r="J1" s="408"/>
      <c r="K1" s="408"/>
      <c r="L1" s="408"/>
      <c r="M1" s="408"/>
      <c r="N1" s="408"/>
      <c r="O1" s="408"/>
      <c r="P1" s="408"/>
      <c r="Q1" s="408"/>
      <c r="R1" s="408"/>
      <c r="S1" s="408"/>
      <c r="T1" s="408"/>
      <c r="U1" s="408"/>
      <c r="V1" s="408"/>
      <c r="W1" s="408"/>
      <c r="X1" s="408"/>
      <c r="Z1" s="80" t="s">
        <v>1000</v>
      </c>
      <c r="AA1" s="81"/>
    </row>
    <row r="2" spans="1:27" x14ac:dyDescent="0.2">
      <c r="Z2" t="s">
        <v>1007</v>
      </c>
      <c r="AA2">
        <f>COUNTA($A$4:$A$200)</f>
        <v>20</v>
      </c>
    </row>
    <row r="3" spans="1:27" ht="36" customHeight="1" x14ac:dyDescent="0.2">
      <c r="A3" s="3" t="s">
        <v>1</v>
      </c>
      <c r="B3" s="3" t="s">
        <v>2</v>
      </c>
      <c r="C3" s="3" t="s">
        <v>3</v>
      </c>
      <c r="D3" s="3" t="s">
        <v>4</v>
      </c>
      <c r="E3" s="3" t="s">
        <v>5</v>
      </c>
      <c r="F3" s="3" t="s">
        <v>6</v>
      </c>
      <c r="G3" s="3" t="s">
        <v>7</v>
      </c>
      <c r="H3" s="3" t="s">
        <v>8</v>
      </c>
      <c r="I3" s="3" t="s">
        <v>9</v>
      </c>
      <c r="J3" s="3" t="s">
        <v>10</v>
      </c>
      <c r="K3" s="3" t="s">
        <v>11</v>
      </c>
      <c r="L3" s="3" t="s">
        <v>12</v>
      </c>
      <c r="M3" s="3" t="s">
        <v>13</v>
      </c>
      <c r="N3" s="3" t="s">
        <v>14</v>
      </c>
      <c r="O3" s="3" t="s">
        <v>15</v>
      </c>
      <c r="P3" s="3" t="s">
        <v>16</v>
      </c>
      <c r="Q3" s="3" t="s">
        <v>17</v>
      </c>
      <c r="R3" s="3" t="s">
        <v>18</v>
      </c>
      <c r="S3" s="3" t="s">
        <v>19</v>
      </c>
      <c r="T3" s="3" t="s">
        <v>20</v>
      </c>
      <c r="U3" s="3" t="s">
        <v>21</v>
      </c>
      <c r="V3" s="3" t="s">
        <v>22</v>
      </c>
      <c r="W3" s="3" t="s">
        <v>23</v>
      </c>
      <c r="X3" s="3" t="s">
        <v>24</v>
      </c>
      <c r="Z3" s="3" t="s">
        <v>32</v>
      </c>
      <c r="AA3">
        <f>COUNTIF($Q$4:$Q$200,"Y")</f>
        <v>20</v>
      </c>
    </row>
    <row r="4" spans="1:27" x14ac:dyDescent="0.2">
      <c r="A4" s="27" t="s">
        <v>25</v>
      </c>
      <c r="B4" s="28" t="s">
        <v>26</v>
      </c>
      <c r="C4" s="28" t="s">
        <v>27</v>
      </c>
      <c r="D4" s="28" t="s">
        <v>28</v>
      </c>
      <c r="E4" s="28">
        <v>1.6</v>
      </c>
      <c r="F4" s="28" t="s">
        <v>29</v>
      </c>
      <c r="G4" s="28" t="s">
        <v>30</v>
      </c>
      <c r="H4" s="28" t="s">
        <v>31</v>
      </c>
      <c r="I4" s="28" t="s">
        <v>32</v>
      </c>
      <c r="J4" s="28"/>
      <c r="K4" s="28"/>
      <c r="L4" s="28"/>
      <c r="M4" s="28"/>
      <c r="N4" s="28"/>
      <c r="O4" s="28"/>
      <c r="P4" s="28"/>
      <c r="Q4" s="28" t="s">
        <v>33</v>
      </c>
      <c r="R4" s="28"/>
      <c r="S4" s="28"/>
      <c r="T4" s="28"/>
      <c r="U4" s="28" t="s">
        <v>34</v>
      </c>
      <c r="V4" s="28"/>
      <c r="W4" s="28"/>
      <c r="X4" s="29"/>
      <c r="Z4" t="s">
        <v>34</v>
      </c>
      <c r="AA4">
        <f>COUNTIF($U$4:$U$200,"Untouched")</f>
        <v>20</v>
      </c>
    </row>
    <row r="5" spans="1:27" x14ac:dyDescent="0.2">
      <c r="A5" s="30" t="s">
        <v>35</v>
      </c>
      <c r="B5" s="31" t="s">
        <v>36</v>
      </c>
      <c r="C5" s="31" t="s">
        <v>37</v>
      </c>
      <c r="D5" s="31" t="s">
        <v>38</v>
      </c>
      <c r="E5" s="31">
        <v>2</v>
      </c>
      <c r="F5" s="31" t="s">
        <v>39</v>
      </c>
      <c r="G5" s="31" t="s">
        <v>40</v>
      </c>
      <c r="H5" s="31" t="s">
        <v>31</v>
      </c>
      <c r="I5" s="31" t="s">
        <v>32</v>
      </c>
      <c r="J5" s="31"/>
      <c r="K5" s="31"/>
      <c r="L5" s="31"/>
      <c r="M5" s="31"/>
      <c r="N5" s="31"/>
      <c r="O5" s="31"/>
      <c r="P5" s="31"/>
      <c r="Q5" s="31" t="s">
        <v>33</v>
      </c>
      <c r="R5" s="31"/>
      <c r="S5" s="31"/>
      <c r="T5" s="31"/>
      <c r="U5" s="31" t="s">
        <v>34</v>
      </c>
      <c r="V5" s="31"/>
      <c r="W5" s="31"/>
      <c r="X5" s="32"/>
      <c r="Z5" t="s">
        <v>1008</v>
      </c>
      <c r="AA5">
        <f>SUM($M$4:$M$200)</f>
        <v>0</v>
      </c>
    </row>
    <row r="6" spans="1:27" x14ac:dyDescent="0.2">
      <c r="A6" s="30" t="s">
        <v>41</v>
      </c>
      <c r="B6" s="31" t="s">
        <v>42</v>
      </c>
      <c r="C6" s="31" t="s">
        <v>43</v>
      </c>
      <c r="D6" s="31" t="s">
        <v>44</v>
      </c>
      <c r="E6" s="31">
        <v>14</v>
      </c>
      <c r="F6" s="31" t="s">
        <v>45</v>
      </c>
      <c r="G6" s="31" t="s">
        <v>46</v>
      </c>
      <c r="H6" s="31" t="s">
        <v>47</v>
      </c>
      <c r="I6" s="31" t="s">
        <v>32</v>
      </c>
      <c r="J6" s="31"/>
      <c r="K6" s="31"/>
      <c r="L6" s="31"/>
      <c r="M6" s="31"/>
      <c r="N6" s="31"/>
      <c r="O6" s="31"/>
      <c r="P6" s="31"/>
      <c r="Q6" s="31" t="s">
        <v>33</v>
      </c>
      <c r="R6" s="31"/>
      <c r="S6" s="31"/>
      <c r="T6" s="31"/>
      <c r="U6" s="31" t="s">
        <v>34</v>
      </c>
      <c r="V6" s="31"/>
      <c r="W6" s="31"/>
      <c r="X6" s="32"/>
      <c r="Z6" t="s">
        <v>1009</v>
      </c>
      <c r="AA6">
        <f>SUM($N$4:$N$200)</f>
        <v>0</v>
      </c>
    </row>
    <row r="7" spans="1:27" x14ac:dyDescent="0.2">
      <c r="A7" s="30" t="s">
        <v>48</v>
      </c>
      <c r="B7" s="31" t="s">
        <v>49</v>
      </c>
      <c r="C7" s="31" t="s">
        <v>50</v>
      </c>
      <c r="D7" s="31" t="s">
        <v>51</v>
      </c>
      <c r="E7" s="31">
        <v>1</v>
      </c>
      <c r="F7" s="31" t="s">
        <v>52</v>
      </c>
      <c r="G7" s="31" t="s">
        <v>53</v>
      </c>
      <c r="H7" s="31" t="s">
        <v>54</v>
      </c>
      <c r="I7" s="31" t="s">
        <v>32</v>
      </c>
      <c r="J7" s="31"/>
      <c r="K7" s="31"/>
      <c r="L7" s="31"/>
      <c r="M7" s="31"/>
      <c r="N7" s="31"/>
      <c r="O7" s="31"/>
      <c r="P7" s="31"/>
      <c r="Q7" s="31" t="s">
        <v>33</v>
      </c>
      <c r="R7" s="31"/>
      <c r="S7" s="31"/>
      <c r="T7" s="31"/>
      <c r="U7" s="31" t="s">
        <v>34</v>
      </c>
      <c r="V7" s="31"/>
      <c r="W7" s="31"/>
      <c r="X7" s="32"/>
    </row>
    <row r="8" spans="1:27" x14ac:dyDescent="0.2">
      <c r="A8" s="30" t="s">
        <v>55</v>
      </c>
      <c r="B8" s="31" t="s">
        <v>56</v>
      </c>
      <c r="C8" s="31" t="s">
        <v>57</v>
      </c>
      <c r="D8" s="31" t="s">
        <v>58</v>
      </c>
      <c r="E8" s="31"/>
      <c r="F8" s="31" t="s">
        <v>59</v>
      </c>
      <c r="G8" s="31" t="s">
        <v>60</v>
      </c>
      <c r="H8" s="31" t="s">
        <v>61</v>
      </c>
      <c r="I8" s="31" t="s">
        <v>62</v>
      </c>
      <c r="J8" s="31"/>
      <c r="K8" s="31"/>
      <c r="L8" s="31"/>
      <c r="M8" s="31"/>
      <c r="N8" s="31"/>
      <c r="O8" s="31" t="s">
        <v>33</v>
      </c>
      <c r="P8" s="31" t="s">
        <v>63</v>
      </c>
      <c r="Q8" s="31" t="s">
        <v>33</v>
      </c>
      <c r="R8" s="31"/>
      <c r="S8" s="31"/>
      <c r="T8" s="31"/>
      <c r="U8" s="31" t="s">
        <v>34</v>
      </c>
      <c r="V8" s="31"/>
      <c r="W8" s="31"/>
      <c r="X8" s="32"/>
    </row>
    <row r="9" spans="1:27" x14ac:dyDescent="0.2">
      <c r="A9" s="30" t="s">
        <v>64</v>
      </c>
      <c r="B9" s="31" t="s">
        <v>65</v>
      </c>
      <c r="C9" s="31" t="s">
        <v>66</v>
      </c>
      <c r="D9" s="31" t="s">
        <v>67</v>
      </c>
      <c r="E9" s="31"/>
      <c r="F9" s="31" t="s">
        <v>59</v>
      </c>
      <c r="G9" s="31" t="s">
        <v>68</v>
      </c>
      <c r="H9" s="31" t="s">
        <v>69</v>
      </c>
      <c r="I9" s="31" t="s">
        <v>32</v>
      </c>
      <c r="J9" s="31"/>
      <c r="K9" s="31"/>
      <c r="L9" s="31"/>
      <c r="M9" s="31"/>
      <c r="N9" s="31"/>
      <c r="O9" s="31" t="s">
        <v>33</v>
      </c>
      <c r="P9" s="31" t="s">
        <v>70</v>
      </c>
      <c r="Q9" s="31" t="s">
        <v>33</v>
      </c>
      <c r="R9" s="31"/>
      <c r="S9" s="31"/>
      <c r="T9" s="31"/>
      <c r="U9" s="31" t="s">
        <v>34</v>
      </c>
      <c r="V9" s="31"/>
      <c r="W9" s="31"/>
      <c r="X9" s="32"/>
    </row>
    <row r="10" spans="1:27" x14ac:dyDescent="0.2">
      <c r="A10" s="30" t="s">
        <v>71</v>
      </c>
      <c r="B10" s="31" t="s">
        <v>72</v>
      </c>
      <c r="C10" s="31" t="s">
        <v>73</v>
      </c>
      <c r="D10" s="31" t="s">
        <v>74</v>
      </c>
      <c r="E10" s="31">
        <v>6000</v>
      </c>
      <c r="F10" s="31" t="s">
        <v>59</v>
      </c>
      <c r="G10" s="31" t="s">
        <v>75</v>
      </c>
      <c r="H10" s="31" t="s">
        <v>76</v>
      </c>
      <c r="I10" s="31" t="s">
        <v>32</v>
      </c>
      <c r="J10" s="31"/>
      <c r="K10" s="31"/>
      <c r="L10" s="31"/>
      <c r="M10" s="31"/>
      <c r="N10" s="31"/>
      <c r="O10" s="31" t="s">
        <v>33</v>
      </c>
      <c r="P10" s="31" t="s">
        <v>77</v>
      </c>
      <c r="Q10" s="31" t="s">
        <v>33</v>
      </c>
      <c r="R10" s="31"/>
      <c r="S10" s="31"/>
      <c r="T10" s="31"/>
      <c r="U10" s="31" t="s">
        <v>34</v>
      </c>
      <c r="V10" s="31"/>
      <c r="W10" s="31"/>
      <c r="X10" s="32"/>
    </row>
    <row r="11" spans="1:27" x14ac:dyDescent="0.2">
      <c r="A11" s="30" t="s">
        <v>78</v>
      </c>
      <c r="B11" s="31" t="s">
        <v>79</v>
      </c>
      <c r="C11" s="31" t="s">
        <v>80</v>
      </c>
      <c r="D11" s="31" t="s">
        <v>81</v>
      </c>
      <c r="E11" s="31"/>
      <c r="F11" s="31" t="s">
        <v>82</v>
      </c>
      <c r="G11" s="31" t="s">
        <v>83</v>
      </c>
      <c r="H11" s="31" t="s">
        <v>61</v>
      </c>
      <c r="I11" s="31" t="s">
        <v>84</v>
      </c>
      <c r="J11" s="31"/>
      <c r="K11" s="31"/>
      <c r="L11" s="31"/>
      <c r="M11" s="31"/>
      <c r="N11" s="31"/>
      <c r="O11" s="31" t="s">
        <v>85</v>
      </c>
      <c r="P11" s="31" t="s">
        <v>86</v>
      </c>
      <c r="Q11" s="31" t="s">
        <v>33</v>
      </c>
      <c r="R11" s="31"/>
      <c r="S11" s="31"/>
      <c r="T11" s="31"/>
      <c r="U11" s="31" t="s">
        <v>34</v>
      </c>
      <c r="V11" s="31"/>
      <c r="W11" s="31"/>
      <c r="X11" s="32"/>
    </row>
    <row r="12" spans="1:27" x14ac:dyDescent="0.2">
      <c r="A12" s="30" t="s">
        <v>87</v>
      </c>
      <c r="B12" s="31" t="s">
        <v>88</v>
      </c>
      <c r="C12" s="31" t="s">
        <v>89</v>
      </c>
      <c r="D12" s="31" t="s">
        <v>90</v>
      </c>
      <c r="E12" s="31"/>
      <c r="F12" s="31" t="s">
        <v>82</v>
      </c>
      <c r="G12" s="31" t="s">
        <v>83</v>
      </c>
      <c r="H12" s="31" t="s">
        <v>91</v>
      </c>
      <c r="I12" s="31" t="s">
        <v>62</v>
      </c>
      <c r="J12" s="31"/>
      <c r="K12" s="31"/>
      <c r="L12" s="31"/>
      <c r="M12" s="31"/>
      <c r="N12" s="31"/>
      <c r="O12" s="31"/>
      <c r="P12" s="31"/>
      <c r="Q12" s="31" t="s">
        <v>33</v>
      </c>
      <c r="R12" s="31"/>
      <c r="S12" s="31"/>
      <c r="T12" s="31"/>
      <c r="U12" s="31" t="s">
        <v>34</v>
      </c>
      <c r="V12" s="31"/>
      <c r="W12" s="31"/>
      <c r="X12" s="32"/>
    </row>
    <row r="13" spans="1:27" x14ac:dyDescent="0.2">
      <c r="A13" s="30" t="s">
        <v>92</v>
      </c>
      <c r="B13" s="31" t="s">
        <v>93</v>
      </c>
      <c r="C13" s="31" t="s">
        <v>94</v>
      </c>
      <c r="D13" s="31"/>
      <c r="E13" s="31"/>
      <c r="F13" s="31" t="s">
        <v>95</v>
      </c>
      <c r="G13" s="31" t="s">
        <v>96</v>
      </c>
      <c r="H13" s="31" t="s">
        <v>97</v>
      </c>
      <c r="I13" s="31" t="s">
        <v>62</v>
      </c>
      <c r="J13" s="31"/>
      <c r="K13" s="31"/>
      <c r="L13" s="31"/>
      <c r="M13" s="31"/>
      <c r="N13" s="31"/>
      <c r="O13" s="31"/>
      <c r="P13" s="31"/>
      <c r="Q13" s="31" t="s">
        <v>33</v>
      </c>
      <c r="R13" s="31"/>
      <c r="S13" s="31"/>
      <c r="T13" s="31"/>
      <c r="U13" s="31" t="s">
        <v>34</v>
      </c>
      <c r="V13" s="31"/>
      <c r="W13" s="31"/>
      <c r="X13" s="32"/>
    </row>
    <row r="14" spans="1:27" x14ac:dyDescent="0.2">
      <c r="A14" s="30" t="s">
        <v>98</v>
      </c>
      <c r="B14" s="31" t="s">
        <v>99</v>
      </c>
      <c r="C14" s="31" t="s">
        <v>100</v>
      </c>
      <c r="D14" s="31" t="s">
        <v>101</v>
      </c>
      <c r="E14" s="31"/>
      <c r="F14" s="31" t="s">
        <v>29</v>
      </c>
      <c r="G14" s="31" t="s">
        <v>102</v>
      </c>
      <c r="H14" s="31" t="s">
        <v>31</v>
      </c>
      <c r="I14" s="31" t="s">
        <v>32</v>
      </c>
      <c r="J14" s="31"/>
      <c r="K14" s="31"/>
      <c r="L14" s="31"/>
      <c r="M14" s="31"/>
      <c r="N14" s="31"/>
      <c r="O14" s="31"/>
      <c r="P14" s="31"/>
      <c r="Q14" s="31" t="s">
        <v>33</v>
      </c>
      <c r="R14" s="31"/>
      <c r="S14" s="31"/>
      <c r="T14" s="31"/>
      <c r="U14" s="31" t="s">
        <v>34</v>
      </c>
      <c r="V14" s="31"/>
      <c r="W14" s="31"/>
      <c r="X14" s="32"/>
    </row>
    <row r="15" spans="1:27" x14ac:dyDescent="0.2">
      <c r="A15" s="30" t="s">
        <v>103</v>
      </c>
      <c r="B15" s="31" t="s">
        <v>104</v>
      </c>
      <c r="C15" s="31" t="s">
        <v>105</v>
      </c>
      <c r="D15" s="31" t="s">
        <v>106</v>
      </c>
      <c r="E15" s="31"/>
      <c r="F15" s="31" t="s">
        <v>29</v>
      </c>
      <c r="G15" s="31" t="s">
        <v>102</v>
      </c>
      <c r="H15" s="31" t="s">
        <v>107</v>
      </c>
      <c r="I15" s="31" t="s">
        <v>32</v>
      </c>
      <c r="J15" s="31"/>
      <c r="K15" s="31"/>
      <c r="L15" s="31"/>
      <c r="M15" s="31"/>
      <c r="N15" s="31"/>
      <c r="O15" s="31"/>
      <c r="P15" s="31"/>
      <c r="Q15" s="31" t="s">
        <v>33</v>
      </c>
      <c r="R15" s="31"/>
      <c r="S15" s="31"/>
      <c r="T15" s="31"/>
      <c r="U15" s="31" t="s">
        <v>34</v>
      </c>
      <c r="V15" s="31"/>
      <c r="W15" s="31"/>
      <c r="X15" s="32"/>
    </row>
    <row r="16" spans="1:27" x14ac:dyDescent="0.2">
      <c r="A16" s="30" t="s">
        <v>108</v>
      </c>
      <c r="B16" s="31" t="s">
        <v>109</v>
      </c>
      <c r="C16" s="31" t="s">
        <v>110</v>
      </c>
      <c r="D16" s="31" t="s">
        <v>109</v>
      </c>
      <c r="E16" s="31"/>
      <c r="F16" s="31" t="s">
        <v>29</v>
      </c>
      <c r="G16" s="31" t="s">
        <v>111</v>
      </c>
      <c r="H16" s="31" t="s">
        <v>31</v>
      </c>
      <c r="I16" s="31" t="s">
        <v>32</v>
      </c>
      <c r="J16" s="31"/>
      <c r="K16" s="31"/>
      <c r="L16" s="31"/>
      <c r="M16" s="31"/>
      <c r="N16" s="31"/>
      <c r="O16" s="31"/>
      <c r="P16" s="31"/>
      <c r="Q16" s="31" t="s">
        <v>33</v>
      </c>
      <c r="R16" s="31"/>
      <c r="S16" s="31"/>
      <c r="T16" s="31"/>
      <c r="U16" s="31" t="s">
        <v>34</v>
      </c>
      <c r="V16" s="31"/>
      <c r="W16" s="31"/>
      <c r="X16" s="32"/>
    </row>
    <row r="17" spans="1:24" x14ac:dyDescent="0.2">
      <c r="A17" s="30" t="s">
        <v>112</v>
      </c>
      <c r="B17" s="31" t="s">
        <v>113</v>
      </c>
      <c r="C17" s="31" t="s">
        <v>114</v>
      </c>
      <c r="D17" s="31" t="s">
        <v>115</v>
      </c>
      <c r="E17" s="31"/>
      <c r="F17" s="31" t="s">
        <v>116</v>
      </c>
      <c r="G17" s="31" t="s">
        <v>117</v>
      </c>
      <c r="H17" s="31" t="s">
        <v>31</v>
      </c>
      <c r="I17" s="31" t="s">
        <v>32</v>
      </c>
      <c r="J17" s="31"/>
      <c r="K17" s="31"/>
      <c r="L17" s="31"/>
      <c r="M17" s="31"/>
      <c r="N17" s="31"/>
      <c r="O17" s="31"/>
      <c r="P17" s="31"/>
      <c r="Q17" s="31" t="s">
        <v>33</v>
      </c>
      <c r="R17" s="31"/>
      <c r="S17" s="31"/>
      <c r="T17" s="31"/>
      <c r="U17" s="31" t="s">
        <v>34</v>
      </c>
      <c r="V17" s="31"/>
      <c r="W17" s="31"/>
      <c r="X17" s="32"/>
    </row>
    <row r="18" spans="1:24" x14ac:dyDescent="0.2">
      <c r="A18" s="30" t="s">
        <v>118</v>
      </c>
      <c r="B18" s="31" t="s">
        <v>119</v>
      </c>
      <c r="C18" s="31" t="s">
        <v>120</v>
      </c>
      <c r="D18" s="31" t="s">
        <v>121</v>
      </c>
      <c r="E18" s="31"/>
      <c r="F18" s="31" t="s">
        <v>82</v>
      </c>
      <c r="G18" s="31" t="s">
        <v>122</v>
      </c>
      <c r="H18" s="31" t="s">
        <v>61</v>
      </c>
      <c r="I18" s="31" t="s">
        <v>62</v>
      </c>
      <c r="J18" s="31"/>
      <c r="K18" s="31"/>
      <c r="L18" s="31"/>
      <c r="M18" s="31"/>
      <c r="N18" s="31"/>
      <c r="O18" s="31"/>
      <c r="P18" s="31"/>
      <c r="Q18" s="31" t="s">
        <v>33</v>
      </c>
      <c r="R18" s="31"/>
      <c r="S18" s="31"/>
      <c r="T18" s="31"/>
      <c r="U18" s="31" t="s">
        <v>34</v>
      </c>
      <c r="V18" s="31"/>
      <c r="W18" s="31"/>
      <c r="X18" s="32"/>
    </row>
    <row r="19" spans="1:24" x14ac:dyDescent="0.2">
      <c r="A19" s="30" t="s">
        <v>123</v>
      </c>
      <c r="B19" s="31" t="s">
        <v>124</v>
      </c>
      <c r="C19" s="31" t="s">
        <v>125</v>
      </c>
      <c r="D19" s="31" t="s">
        <v>126</v>
      </c>
      <c r="E19" s="31"/>
      <c r="F19" s="31" t="s">
        <v>59</v>
      </c>
      <c r="G19" s="31" t="s">
        <v>127</v>
      </c>
      <c r="H19" s="31" t="s">
        <v>69</v>
      </c>
      <c r="I19" s="31" t="s">
        <v>128</v>
      </c>
      <c r="J19" s="31"/>
      <c r="K19" s="31"/>
      <c r="L19" s="31"/>
      <c r="M19" s="31"/>
      <c r="N19" s="31"/>
      <c r="O19" s="31" t="s">
        <v>33</v>
      </c>
      <c r="P19" s="31" t="s">
        <v>129</v>
      </c>
      <c r="Q19" s="31" t="s">
        <v>33</v>
      </c>
      <c r="R19" s="31"/>
      <c r="S19" s="31"/>
      <c r="T19" s="31"/>
      <c r="U19" s="31" t="s">
        <v>34</v>
      </c>
      <c r="V19" s="31"/>
      <c r="W19" s="31"/>
      <c r="X19" s="32"/>
    </row>
    <row r="20" spans="1:24" x14ac:dyDescent="0.2">
      <c r="A20" s="30" t="s">
        <v>130</v>
      </c>
      <c r="B20" s="31" t="s">
        <v>131</v>
      </c>
      <c r="C20" s="31" t="s">
        <v>132</v>
      </c>
      <c r="D20" s="31" t="s">
        <v>133</v>
      </c>
      <c r="E20" s="31"/>
      <c r="F20" s="31" t="s">
        <v>29</v>
      </c>
      <c r="G20" s="31" t="s">
        <v>102</v>
      </c>
      <c r="H20" s="31" t="s">
        <v>31</v>
      </c>
      <c r="I20" s="31" t="s">
        <v>32</v>
      </c>
      <c r="J20" s="31"/>
      <c r="K20" s="31"/>
      <c r="L20" s="31"/>
      <c r="M20" s="31"/>
      <c r="N20" s="31"/>
      <c r="O20" s="31"/>
      <c r="P20" s="31"/>
      <c r="Q20" s="31" t="s">
        <v>33</v>
      </c>
      <c r="R20" s="31"/>
      <c r="S20" s="31"/>
      <c r="T20" s="31"/>
      <c r="U20" s="31" t="s">
        <v>34</v>
      </c>
      <c r="V20" s="31"/>
      <c r="W20" s="31"/>
      <c r="X20" s="32"/>
    </row>
    <row r="21" spans="1:24" x14ac:dyDescent="0.2">
      <c r="A21" s="30" t="s">
        <v>134</v>
      </c>
      <c r="B21" s="31" t="s">
        <v>135</v>
      </c>
      <c r="C21" s="31" t="s">
        <v>136</v>
      </c>
      <c r="D21" s="31" t="s">
        <v>137</v>
      </c>
      <c r="E21" s="31"/>
      <c r="F21" s="31" t="s">
        <v>29</v>
      </c>
      <c r="G21" s="31" t="s">
        <v>138</v>
      </c>
      <c r="H21" s="31" t="s">
        <v>139</v>
      </c>
      <c r="I21" s="31" t="s">
        <v>32</v>
      </c>
      <c r="J21" s="31"/>
      <c r="K21" s="31"/>
      <c r="L21" s="31"/>
      <c r="M21" s="31"/>
      <c r="N21" s="31"/>
      <c r="O21" s="31"/>
      <c r="P21" s="31"/>
      <c r="Q21" s="31" t="s">
        <v>33</v>
      </c>
      <c r="R21" s="31"/>
      <c r="S21" s="31"/>
      <c r="T21" s="31"/>
      <c r="U21" s="31" t="s">
        <v>34</v>
      </c>
      <c r="V21" s="31"/>
      <c r="W21" s="31"/>
      <c r="X21" s="32"/>
    </row>
    <row r="22" spans="1:24" x14ac:dyDescent="0.2">
      <c r="A22" s="30" t="s">
        <v>140</v>
      </c>
      <c r="B22" s="31" t="s">
        <v>141</v>
      </c>
      <c r="C22" s="31" t="s">
        <v>142</v>
      </c>
      <c r="D22" s="31" t="s">
        <v>143</v>
      </c>
      <c r="E22" s="31">
        <v>2</v>
      </c>
      <c r="F22" s="31" t="s">
        <v>144</v>
      </c>
      <c r="G22" s="31" t="s">
        <v>145</v>
      </c>
      <c r="H22" s="31" t="s">
        <v>146</v>
      </c>
      <c r="I22" s="31" t="s">
        <v>32</v>
      </c>
      <c r="J22" s="31"/>
      <c r="K22" s="31"/>
      <c r="L22" s="31"/>
      <c r="M22" s="31"/>
      <c r="N22" s="31"/>
      <c r="O22" s="31"/>
      <c r="P22" s="31"/>
      <c r="Q22" s="31" t="s">
        <v>33</v>
      </c>
      <c r="R22" s="31"/>
      <c r="S22" s="31"/>
      <c r="T22" s="31"/>
      <c r="U22" s="31" t="s">
        <v>34</v>
      </c>
      <c r="V22" s="31"/>
      <c r="W22" s="31"/>
      <c r="X22" s="32"/>
    </row>
    <row r="23" spans="1:24" x14ac:dyDescent="0.2">
      <c r="A23" s="33" t="s">
        <v>147</v>
      </c>
      <c r="B23" s="34" t="s">
        <v>148</v>
      </c>
      <c r="C23" s="34" t="s">
        <v>149</v>
      </c>
      <c r="D23" s="34" t="s">
        <v>150</v>
      </c>
      <c r="E23" s="34"/>
      <c r="F23" s="34" t="s">
        <v>151</v>
      </c>
      <c r="G23" s="34" t="s">
        <v>152</v>
      </c>
      <c r="H23" s="34" t="s">
        <v>153</v>
      </c>
      <c r="I23" s="34" t="s">
        <v>154</v>
      </c>
      <c r="J23" s="34"/>
      <c r="K23" s="34"/>
      <c r="L23" s="34"/>
      <c r="M23" s="34"/>
      <c r="N23" s="34"/>
      <c r="O23" s="34"/>
      <c r="P23" s="34"/>
      <c r="Q23" s="34" t="s">
        <v>33</v>
      </c>
      <c r="R23" s="34"/>
      <c r="S23" s="34"/>
      <c r="T23" s="34"/>
      <c r="U23" s="34" t="s">
        <v>34</v>
      </c>
      <c r="V23" s="34"/>
      <c r="W23" s="34"/>
      <c r="X23" s="35"/>
    </row>
  </sheetData>
  <mergeCells count="1">
    <mergeCell ref="A1:X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9B2F-89D8-7844-A5F3-C1D5172A6A39}">
  <dimension ref="A1:K10"/>
  <sheetViews>
    <sheetView workbookViewId="0">
      <selection sqref="A1:K1"/>
    </sheetView>
  </sheetViews>
  <sheetFormatPr baseColWidth="10" defaultRowHeight="16" x14ac:dyDescent="0.2"/>
  <cols>
    <col min="1" max="1" width="10" customWidth="1"/>
    <col min="2" max="2" width="23.33203125" customWidth="1"/>
    <col min="3" max="3" width="15" customWidth="1"/>
    <col min="4" max="4" width="25" customWidth="1"/>
    <col min="5" max="5" width="38.33203125" customWidth="1"/>
    <col min="6" max="7" width="15" customWidth="1"/>
    <col min="8" max="9" width="33.33203125" customWidth="1"/>
    <col min="10" max="10" width="13.33203125" customWidth="1"/>
    <col min="11" max="11" width="38.33203125" customWidth="1"/>
  </cols>
  <sheetData>
    <row r="1" spans="1:11" ht="19" x14ac:dyDescent="0.25">
      <c r="A1" s="396" t="s">
        <v>725</v>
      </c>
      <c r="B1" s="396"/>
      <c r="C1" s="396"/>
      <c r="D1" s="396"/>
      <c r="E1" s="396"/>
      <c r="F1" s="396"/>
      <c r="G1" s="396"/>
      <c r="H1" s="396"/>
      <c r="I1" s="396"/>
      <c r="J1" s="396"/>
      <c r="K1" s="396"/>
    </row>
    <row r="2" spans="1:11" x14ac:dyDescent="0.2">
      <c r="A2" s="409" t="s">
        <v>726</v>
      </c>
      <c r="B2" s="409"/>
      <c r="C2" s="409"/>
      <c r="D2" s="409"/>
      <c r="E2" s="409"/>
      <c r="F2" s="409"/>
      <c r="G2" s="409"/>
      <c r="H2" s="409"/>
      <c r="I2" s="409"/>
      <c r="J2" s="409"/>
      <c r="K2" s="409"/>
    </row>
    <row r="3" spans="1:11" ht="28" customHeight="1" x14ac:dyDescent="0.2">
      <c r="A3" s="37" t="s">
        <v>727</v>
      </c>
      <c r="B3" s="37" t="s">
        <v>728</v>
      </c>
      <c r="C3" s="37" t="s">
        <v>729</v>
      </c>
      <c r="D3" s="38" t="s">
        <v>730</v>
      </c>
      <c r="E3" s="38" t="s">
        <v>731</v>
      </c>
      <c r="F3" s="38" t="s">
        <v>732</v>
      </c>
      <c r="G3" s="37" t="s">
        <v>733</v>
      </c>
      <c r="H3" s="37" t="s">
        <v>734</v>
      </c>
      <c r="I3" s="37" t="s">
        <v>735</v>
      </c>
      <c r="J3" s="37" t="s">
        <v>736</v>
      </c>
      <c r="K3" s="37" t="s">
        <v>24</v>
      </c>
    </row>
    <row r="4" spans="1:11" x14ac:dyDescent="0.2">
      <c r="A4" s="39" t="s">
        <v>737</v>
      </c>
      <c r="B4" s="39" t="s">
        <v>738</v>
      </c>
      <c r="C4" s="39" t="s">
        <v>739</v>
      </c>
      <c r="D4" s="39" t="s">
        <v>738</v>
      </c>
      <c r="E4" s="39" t="s">
        <v>740</v>
      </c>
      <c r="F4" s="39" t="s">
        <v>741</v>
      </c>
      <c r="G4" s="39">
        <v>1</v>
      </c>
      <c r="H4" s="39" t="s">
        <v>742</v>
      </c>
      <c r="I4" s="39" t="s">
        <v>743</v>
      </c>
      <c r="J4" s="40" t="s">
        <v>744</v>
      </c>
      <c r="K4" s="39" t="s">
        <v>745</v>
      </c>
    </row>
    <row r="5" spans="1:11" x14ac:dyDescent="0.2">
      <c r="A5" s="39" t="s">
        <v>746</v>
      </c>
      <c r="B5" s="39" t="s">
        <v>747</v>
      </c>
      <c r="C5" s="39" t="s">
        <v>739</v>
      </c>
      <c r="D5" s="39" t="s">
        <v>747</v>
      </c>
      <c r="E5" s="39" t="s">
        <v>748</v>
      </c>
      <c r="F5" s="39" t="s">
        <v>749</v>
      </c>
      <c r="G5" s="39">
        <v>2</v>
      </c>
      <c r="H5" s="39" t="s">
        <v>750</v>
      </c>
      <c r="I5" s="39" t="s">
        <v>751</v>
      </c>
      <c r="J5" s="41" t="s">
        <v>752</v>
      </c>
      <c r="K5" s="39" t="s">
        <v>753</v>
      </c>
    </row>
    <row r="6" spans="1:11" x14ac:dyDescent="0.2">
      <c r="A6" s="39" t="s">
        <v>754</v>
      </c>
      <c r="B6" s="39" t="s">
        <v>755</v>
      </c>
      <c r="C6" s="39" t="s">
        <v>739</v>
      </c>
      <c r="D6" s="39" t="s">
        <v>755</v>
      </c>
      <c r="E6" s="39" t="s">
        <v>756</v>
      </c>
      <c r="F6" s="39" t="s">
        <v>757</v>
      </c>
      <c r="G6" s="39">
        <v>3</v>
      </c>
      <c r="H6" s="39" t="s">
        <v>758</v>
      </c>
      <c r="I6" s="39" t="s">
        <v>759</v>
      </c>
      <c r="J6" s="42" t="s">
        <v>760</v>
      </c>
      <c r="K6" s="39" t="s">
        <v>761</v>
      </c>
    </row>
    <row r="7" spans="1:11" x14ac:dyDescent="0.2">
      <c r="A7" s="39" t="s">
        <v>762</v>
      </c>
      <c r="B7" s="39" t="s">
        <v>763</v>
      </c>
      <c r="C7" s="43" t="s">
        <v>764</v>
      </c>
      <c r="D7" s="39" t="s">
        <v>765</v>
      </c>
      <c r="E7" s="39" t="s">
        <v>766</v>
      </c>
      <c r="F7" s="39" t="s">
        <v>767</v>
      </c>
      <c r="G7" s="39">
        <v>10</v>
      </c>
      <c r="H7" s="39" t="s">
        <v>768</v>
      </c>
      <c r="I7" s="39" t="s">
        <v>769</v>
      </c>
      <c r="J7" s="39"/>
      <c r="K7" s="43" t="s">
        <v>770</v>
      </c>
    </row>
    <row r="8" spans="1:11" x14ac:dyDescent="0.2">
      <c r="A8" s="83" t="s">
        <v>1482</v>
      </c>
      <c r="B8" s="83" t="s">
        <v>1483</v>
      </c>
      <c r="C8" s="83" t="s">
        <v>1484</v>
      </c>
      <c r="D8" s="83" t="s">
        <v>1483</v>
      </c>
      <c r="E8" s="83" t="s">
        <v>1485</v>
      </c>
      <c r="F8" s="83" t="s">
        <v>1486</v>
      </c>
      <c r="G8" s="83">
        <v>4</v>
      </c>
      <c r="H8" s="83" t="s">
        <v>1487</v>
      </c>
      <c r="I8" s="83" t="s">
        <v>1488</v>
      </c>
      <c r="J8" s="130" t="s">
        <v>1489</v>
      </c>
      <c r="K8" s="83" t="s">
        <v>1490</v>
      </c>
    </row>
    <row r="9" spans="1:11" x14ac:dyDescent="0.2">
      <c r="A9" s="83" t="s">
        <v>1491</v>
      </c>
      <c r="B9" s="83" t="s">
        <v>1492</v>
      </c>
      <c r="C9" s="83" t="s">
        <v>1484</v>
      </c>
      <c r="D9" s="83" t="s">
        <v>1492</v>
      </c>
      <c r="E9" s="83" t="s">
        <v>1493</v>
      </c>
      <c r="F9" s="83" t="s">
        <v>1494</v>
      </c>
      <c r="G9" s="83">
        <v>4</v>
      </c>
      <c r="H9" s="83" t="s">
        <v>1487</v>
      </c>
      <c r="I9" s="83" t="s">
        <v>1495</v>
      </c>
      <c r="J9" s="131" t="s">
        <v>1496</v>
      </c>
      <c r="K9" s="83" t="s">
        <v>1490</v>
      </c>
    </row>
    <row r="10" spans="1:11" x14ac:dyDescent="0.2">
      <c r="A10" s="83" t="s">
        <v>1497</v>
      </c>
      <c r="B10" s="83" t="s">
        <v>1498</v>
      </c>
      <c r="C10" s="83" t="s">
        <v>1499</v>
      </c>
      <c r="D10" s="83" t="s">
        <v>1500</v>
      </c>
      <c r="E10" s="83" t="s">
        <v>1501</v>
      </c>
      <c r="F10" s="83" t="s">
        <v>1502</v>
      </c>
      <c r="G10" s="83">
        <v>3</v>
      </c>
      <c r="H10" s="83" t="s">
        <v>1503</v>
      </c>
      <c r="I10" s="83" t="s">
        <v>1504</v>
      </c>
      <c r="J10" s="132" t="s">
        <v>1505</v>
      </c>
      <c r="K10" s="83" t="s">
        <v>1506</v>
      </c>
    </row>
  </sheetData>
  <mergeCells count="2">
    <mergeCell ref="A1:K1"/>
    <mergeCell ref="A2:K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BA896-4612-B544-9C6B-AFE584EC6F79}">
  <dimension ref="A1:O11"/>
  <sheetViews>
    <sheetView workbookViewId="0">
      <selection sqref="A1:O1"/>
    </sheetView>
  </sheetViews>
  <sheetFormatPr baseColWidth="10" defaultRowHeight="16" x14ac:dyDescent="0.2"/>
  <cols>
    <col min="1" max="1" width="17.5" customWidth="1"/>
    <col min="2" max="2" width="25" customWidth="1"/>
    <col min="3" max="3" width="17.5" customWidth="1"/>
    <col min="4" max="4" width="36.6640625" customWidth="1"/>
    <col min="5" max="14" width="17.5" customWidth="1"/>
    <col min="15" max="15" width="33.33203125" customWidth="1"/>
  </cols>
  <sheetData>
    <row r="1" spans="1:15" ht="24" customHeight="1" x14ac:dyDescent="0.25">
      <c r="A1" s="396" t="s">
        <v>807</v>
      </c>
      <c r="B1" s="396"/>
      <c r="C1" s="396"/>
      <c r="D1" s="396"/>
      <c r="E1" s="396"/>
      <c r="F1" s="396"/>
      <c r="G1" s="396"/>
      <c r="H1" s="396"/>
      <c r="I1" s="396"/>
      <c r="J1" s="396"/>
      <c r="K1" s="396"/>
      <c r="L1" s="396"/>
      <c r="M1" s="396"/>
      <c r="N1" s="396"/>
      <c r="O1" s="396"/>
    </row>
    <row r="2" spans="1:15" x14ac:dyDescent="0.2">
      <c r="A2" s="409" t="s">
        <v>808</v>
      </c>
      <c r="B2" s="409"/>
      <c r="C2" s="409"/>
      <c r="D2" s="409"/>
      <c r="E2" s="409"/>
      <c r="F2" s="409"/>
      <c r="G2" s="409"/>
      <c r="H2" s="409"/>
      <c r="I2" s="409"/>
      <c r="J2" s="409"/>
      <c r="K2" s="409"/>
      <c r="L2" s="409"/>
      <c r="M2" s="409"/>
      <c r="N2" s="409"/>
      <c r="O2" s="409"/>
    </row>
    <row r="3" spans="1:15" x14ac:dyDescent="0.2">
      <c r="A3" s="48" t="s">
        <v>809</v>
      </c>
      <c r="B3" s="49" t="s">
        <v>810</v>
      </c>
      <c r="C3" s="49" t="s">
        <v>729</v>
      </c>
      <c r="D3" s="49" t="s">
        <v>811</v>
      </c>
      <c r="E3" s="49" t="s">
        <v>812</v>
      </c>
      <c r="F3" s="49" t="s">
        <v>813</v>
      </c>
      <c r="G3" s="49" t="s">
        <v>814</v>
      </c>
      <c r="H3" s="49" t="s">
        <v>815</v>
      </c>
      <c r="I3" s="49" t="s">
        <v>816</v>
      </c>
      <c r="J3" s="49" t="s">
        <v>817</v>
      </c>
      <c r="K3" s="49" t="s">
        <v>818</v>
      </c>
      <c r="L3" s="49" t="s">
        <v>819</v>
      </c>
      <c r="M3" s="49" t="s">
        <v>21</v>
      </c>
      <c r="N3" s="49" t="s">
        <v>820</v>
      </c>
      <c r="O3" s="50" t="s">
        <v>24</v>
      </c>
    </row>
    <row r="4" spans="1:15" x14ac:dyDescent="0.2">
      <c r="A4" s="51" t="s">
        <v>821</v>
      </c>
      <c r="B4" s="31" t="s">
        <v>822</v>
      </c>
      <c r="C4" s="31" t="s">
        <v>823</v>
      </c>
      <c r="D4" s="31" t="s">
        <v>824</v>
      </c>
      <c r="E4" s="31" t="s">
        <v>825</v>
      </c>
      <c r="F4" s="31">
        <v>8000</v>
      </c>
      <c r="G4" s="31">
        <v>0</v>
      </c>
      <c r="H4" s="31">
        <f t="shared" ref="H4:H10" si="0">F4-G4</f>
        <v>8000</v>
      </c>
      <c r="I4" s="52">
        <f t="shared" ref="I4:I11" si="1">IF(F4=0,0,G4/F4)</f>
        <v>0</v>
      </c>
      <c r="J4" s="31" t="s">
        <v>826</v>
      </c>
      <c r="K4" s="31" t="s">
        <v>827</v>
      </c>
      <c r="L4" s="31">
        <v>1</v>
      </c>
      <c r="M4" s="31" t="s">
        <v>828</v>
      </c>
      <c r="N4" s="31"/>
      <c r="O4" s="53" t="s">
        <v>829</v>
      </c>
    </row>
    <row r="5" spans="1:15" x14ac:dyDescent="0.2">
      <c r="A5" s="54" t="s">
        <v>830</v>
      </c>
      <c r="B5" s="55" t="s">
        <v>831</v>
      </c>
      <c r="C5" s="55" t="s">
        <v>832</v>
      </c>
      <c r="D5" s="55" t="s">
        <v>833</v>
      </c>
      <c r="E5" s="55" t="s">
        <v>825</v>
      </c>
      <c r="F5" s="55">
        <v>4000</v>
      </c>
      <c r="G5" s="55">
        <v>0</v>
      </c>
      <c r="H5" s="55">
        <f t="shared" si="0"/>
        <v>4000</v>
      </c>
      <c r="I5" s="56">
        <f t="shared" si="1"/>
        <v>0</v>
      </c>
      <c r="J5" s="55" t="s">
        <v>834</v>
      </c>
      <c r="K5" s="55" t="s">
        <v>835</v>
      </c>
      <c r="L5" s="55">
        <v>2</v>
      </c>
      <c r="M5" s="55" t="s">
        <v>828</v>
      </c>
      <c r="N5" s="55"/>
      <c r="O5" s="57" t="s">
        <v>836</v>
      </c>
    </row>
    <row r="6" spans="1:15" x14ac:dyDescent="0.2">
      <c r="A6" s="51" t="s">
        <v>827</v>
      </c>
      <c r="B6" s="31" t="s">
        <v>837</v>
      </c>
      <c r="C6" s="31" t="s">
        <v>838</v>
      </c>
      <c r="D6" s="31" t="s">
        <v>839</v>
      </c>
      <c r="E6" s="31" t="s">
        <v>825</v>
      </c>
      <c r="F6" s="31">
        <v>8000</v>
      </c>
      <c r="G6" s="31">
        <v>0</v>
      </c>
      <c r="H6" s="31">
        <f t="shared" si="0"/>
        <v>8000</v>
      </c>
      <c r="I6" s="52">
        <f t="shared" si="1"/>
        <v>0</v>
      </c>
      <c r="J6" s="31" t="s">
        <v>840</v>
      </c>
      <c r="K6" s="31" t="s">
        <v>821</v>
      </c>
      <c r="L6" s="31">
        <v>1</v>
      </c>
      <c r="M6" s="31" t="s">
        <v>828</v>
      </c>
      <c r="N6" s="31"/>
      <c r="O6" s="53" t="s">
        <v>841</v>
      </c>
    </row>
    <row r="7" spans="1:15" x14ac:dyDescent="0.2">
      <c r="A7" s="54" t="s">
        <v>842</v>
      </c>
      <c r="B7" s="55" t="s">
        <v>843</v>
      </c>
      <c r="C7" s="55" t="s">
        <v>844</v>
      </c>
      <c r="D7" s="55" t="s">
        <v>845</v>
      </c>
      <c r="E7" s="55" t="s">
        <v>825</v>
      </c>
      <c r="F7" s="55">
        <v>100000</v>
      </c>
      <c r="G7" s="55">
        <v>0</v>
      </c>
      <c r="H7" s="55">
        <f t="shared" si="0"/>
        <v>100000</v>
      </c>
      <c r="I7" s="56">
        <f t="shared" si="1"/>
        <v>0</v>
      </c>
      <c r="J7" s="55" t="s">
        <v>846</v>
      </c>
      <c r="K7" s="55" t="s">
        <v>821</v>
      </c>
      <c r="L7" s="55">
        <v>3</v>
      </c>
      <c r="M7" s="55" t="s">
        <v>828</v>
      </c>
      <c r="N7" s="55"/>
      <c r="O7" s="57" t="s">
        <v>847</v>
      </c>
    </row>
    <row r="8" spans="1:15" x14ac:dyDescent="0.2">
      <c r="A8" s="51" t="s">
        <v>848</v>
      </c>
      <c r="B8" s="31" t="s">
        <v>849</v>
      </c>
      <c r="C8" s="31" t="s">
        <v>823</v>
      </c>
      <c r="D8" s="31" t="s">
        <v>850</v>
      </c>
      <c r="E8" s="31" t="s">
        <v>738</v>
      </c>
      <c r="F8" s="31">
        <v>2000</v>
      </c>
      <c r="G8" s="31">
        <v>0</v>
      </c>
      <c r="H8" s="31">
        <f t="shared" si="0"/>
        <v>2000</v>
      </c>
      <c r="I8" s="52">
        <f t="shared" si="1"/>
        <v>0</v>
      </c>
      <c r="J8" s="31" t="s">
        <v>826</v>
      </c>
      <c r="K8" s="31" t="s">
        <v>827</v>
      </c>
      <c r="L8" s="31">
        <v>1</v>
      </c>
      <c r="M8" s="31" t="s">
        <v>828</v>
      </c>
      <c r="N8" s="31"/>
      <c r="O8" s="53" t="s">
        <v>851</v>
      </c>
    </row>
    <row r="9" spans="1:15" x14ac:dyDescent="0.2">
      <c r="A9" s="54" t="s">
        <v>852</v>
      </c>
      <c r="B9" s="55" t="s">
        <v>853</v>
      </c>
      <c r="C9" s="55" t="s">
        <v>823</v>
      </c>
      <c r="D9" s="55" t="s">
        <v>854</v>
      </c>
      <c r="E9" s="55" t="s">
        <v>747</v>
      </c>
      <c r="F9" s="55">
        <v>2000</v>
      </c>
      <c r="G9" s="55">
        <v>0</v>
      </c>
      <c r="H9" s="55">
        <f t="shared" si="0"/>
        <v>2000</v>
      </c>
      <c r="I9" s="56">
        <f t="shared" si="1"/>
        <v>0</v>
      </c>
      <c r="J9" s="55" t="s">
        <v>826</v>
      </c>
      <c r="K9" s="55" t="s">
        <v>827</v>
      </c>
      <c r="L9" s="55">
        <v>1</v>
      </c>
      <c r="M9" s="55" t="s">
        <v>828</v>
      </c>
      <c r="N9" s="55"/>
      <c r="O9" s="57" t="s">
        <v>851</v>
      </c>
    </row>
    <row r="10" spans="1:15" x14ac:dyDescent="0.2">
      <c r="A10" s="51" t="s">
        <v>855</v>
      </c>
      <c r="B10" s="31" t="s">
        <v>856</v>
      </c>
      <c r="C10" s="31" t="s">
        <v>823</v>
      </c>
      <c r="D10" s="31" t="s">
        <v>857</v>
      </c>
      <c r="E10" s="31" t="s">
        <v>755</v>
      </c>
      <c r="F10" s="31">
        <v>2000</v>
      </c>
      <c r="G10" s="31">
        <v>0</v>
      </c>
      <c r="H10" s="31">
        <f t="shared" si="0"/>
        <v>2000</v>
      </c>
      <c r="I10" s="52">
        <f t="shared" si="1"/>
        <v>0</v>
      </c>
      <c r="J10" s="31" t="s">
        <v>826</v>
      </c>
      <c r="K10" s="31" t="s">
        <v>827</v>
      </c>
      <c r="L10" s="31">
        <v>1</v>
      </c>
      <c r="M10" s="31" t="s">
        <v>828</v>
      </c>
      <c r="N10" s="31"/>
      <c r="O10" s="53" t="s">
        <v>851</v>
      </c>
    </row>
    <row r="11" spans="1:15" x14ac:dyDescent="0.2">
      <c r="A11" s="58" t="s">
        <v>858</v>
      </c>
      <c r="B11" s="59"/>
      <c r="C11" s="59"/>
      <c r="D11" s="59"/>
      <c r="E11" s="59"/>
      <c r="F11" s="60">
        <f>SUM(F4:F10)</f>
        <v>126000</v>
      </c>
      <c r="G11" s="60">
        <f>SUM(G4:G10)</f>
        <v>0</v>
      </c>
      <c r="H11" s="60">
        <f>SUM(H4:H10)</f>
        <v>126000</v>
      </c>
      <c r="I11" s="61">
        <f t="shared" si="1"/>
        <v>0</v>
      </c>
      <c r="J11" s="59"/>
      <c r="K11" s="59"/>
      <c r="L11" s="59"/>
      <c r="M11" s="59"/>
      <c r="N11" s="59"/>
      <c r="O11" s="62"/>
    </row>
  </sheetData>
  <mergeCells count="2">
    <mergeCell ref="A1:O1"/>
    <mergeCell ref="A2:O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C43E-B629-3047-AA2F-A7A91F7C66C6}">
  <dimension ref="A1:AA12"/>
  <sheetViews>
    <sheetView workbookViewId="0">
      <selection sqref="A1:O1"/>
    </sheetView>
  </sheetViews>
  <sheetFormatPr baseColWidth="10" defaultRowHeight="16" x14ac:dyDescent="0.2"/>
  <cols>
    <col min="1" max="1" width="13" customWidth="1"/>
    <col min="2" max="2" width="13.6640625" customWidth="1"/>
    <col min="3" max="3" width="38.33203125" customWidth="1"/>
    <col min="4" max="4" width="25" customWidth="1"/>
    <col min="5" max="5" width="15" customWidth="1"/>
    <col min="6" max="6" width="11.6640625" customWidth="1"/>
    <col min="7" max="7" width="15.83203125" customWidth="1"/>
    <col min="8" max="8" width="20" customWidth="1"/>
    <col min="9" max="10" width="15" customWidth="1"/>
    <col min="11" max="11" width="33.33203125" customWidth="1"/>
    <col min="12" max="12" width="11.6640625" customWidth="1"/>
    <col min="13" max="13" width="15" customWidth="1"/>
    <col min="14" max="14" width="21.6640625" customWidth="1"/>
    <col min="15" max="15" width="50" customWidth="1"/>
  </cols>
  <sheetData>
    <row r="1" spans="1:27" ht="19" x14ac:dyDescent="0.25">
      <c r="A1" s="410" t="s">
        <v>859</v>
      </c>
      <c r="B1" s="410"/>
      <c r="C1" s="410"/>
      <c r="D1" s="410"/>
      <c r="E1" s="410"/>
      <c r="F1" s="410"/>
      <c r="G1" s="410"/>
      <c r="H1" s="410"/>
      <c r="I1" s="410"/>
      <c r="J1" s="410"/>
      <c r="K1" s="410"/>
      <c r="L1" s="410"/>
      <c r="M1" s="410"/>
      <c r="N1" s="410"/>
      <c r="O1" s="410"/>
      <c r="Z1" s="80" t="s">
        <v>1000</v>
      </c>
      <c r="AA1" s="81"/>
    </row>
    <row r="2" spans="1:27" x14ac:dyDescent="0.2">
      <c r="A2" s="411" t="s">
        <v>860</v>
      </c>
      <c r="B2" s="411"/>
      <c r="C2" s="411"/>
      <c r="D2" s="411"/>
      <c r="E2" s="411"/>
      <c r="F2" s="411"/>
      <c r="G2" s="411"/>
      <c r="H2" s="411"/>
      <c r="I2" s="411"/>
      <c r="J2" s="411"/>
      <c r="K2" s="411"/>
      <c r="L2" s="411"/>
      <c r="M2" s="411"/>
      <c r="N2" s="411"/>
      <c r="O2" s="411"/>
      <c r="Z2" t="s">
        <v>1010</v>
      </c>
      <c r="AA2">
        <f>COUNTA($A$4:$A$500)</f>
        <v>5</v>
      </c>
    </row>
    <row r="3" spans="1:27" ht="20" customHeight="1" x14ac:dyDescent="0.2">
      <c r="A3" s="46" t="s">
        <v>861</v>
      </c>
      <c r="B3" s="46" t="s">
        <v>156</v>
      </c>
      <c r="C3" s="46" t="s">
        <v>157</v>
      </c>
      <c r="D3" s="46" t="s">
        <v>862</v>
      </c>
      <c r="E3" s="46" t="s">
        <v>863</v>
      </c>
      <c r="F3" s="63" t="s">
        <v>864</v>
      </c>
      <c r="G3" s="63" t="s">
        <v>865</v>
      </c>
      <c r="H3" s="63" t="s">
        <v>866</v>
      </c>
      <c r="I3" s="46" t="s">
        <v>867</v>
      </c>
      <c r="J3" s="64" t="s">
        <v>868</v>
      </c>
      <c r="K3" s="64" t="s">
        <v>869</v>
      </c>
      <c r="L3" s="46" t="s">
        <v>870</v>
      </c>
      <c r="M3" s="46" t="s">
        <v>820</v>
      </c>
      <c r="N3" s="46" t="s">
        <v>871</v>
      </c>
      <c r="O3" s="46" t="s">
        <v>24</v>
      </c>
      <c r="P3" s="149" t="s">
        <v>1465</v>
      </c>
      <c r="Z3" t="s">
        <v>1005</v>
      </c>
      <c r="AA3">
        <f>COUNTIF($F$4:$F$500,"Y")</f>
        <v>1</v>
      </c>
    </row>
    <row r="4" spans="1:27" x14ac:dyDescent="0.2">
      <c r="A4" s="47" t="s">
        <v>872</v>
      </c>
      <c r="B4" s="47" t="s">
        <v>191</v>
      </c>
      <c r="C4" s="47" t="s">
        <v>873</v>
      </c>
      <c r="D4" s="47" t="s">
        <v>874</v>
      </c>
      <c r="E4" s="47">
        <v>28311552</v>
      </c>
      <c r="F4" s="47" t="s">
        <v>203</v>
      </c>
      <c r="G4" s="47"/>
      <c r="H4" s="47" t="s">
        <v>875</v>
      </c>
      <c r="I4" s="47" t="s">
        <v>876</v>
      </c>
      <c r="J4" s="47" t="s">
        <v>203</v>
      </c>
      <c r="K4" s="47"/>
      <c r="L4" s="47" t="s">
        <v>33</v>
      </c>
      <c r="M4" s="65">
        <v>45672</v>
      </c>
      <c r="N4" s="47" t="s">
        <v>877</v>
      </c>
      <c r="O4" s="47" t="s">
        <v>878</v>
      </c>
      <c r="P4" s="150" t="s">
        <v>1466</v>
      </c>
      <c r="Z4" t="s">
        <v>893</v>
      </c>
      <c r="AA4">
        <f>COUNTIF($I$4:$I$500,"Corrupt")</f>
        <v>1</v>
      </c>
    </row>
    <row r="5" spans="1:27" x14ac:dyDescent="0.2">
      <c r="A5" s="47" t="s">
        <v>879</v>
      </c>
      <c r="B5" s="47" t="s">
        <v>257</v>
      </c>
      <c r="C5" s="47" t="s">
        <v>880</v>
      </c>
      <c r="D5" s="47" t="s">
        <v>874</v>
      </c>
      <c r="E5" s="47">
        <v>28311552</v>
      </c>
      <c r="F5" s="47" t="s">
        <v>33</v>
      </c>
      <c r="G5" s="47" t="s">
        <v>872</v>
      </c>
      <c r="H5" s="47" t="s">
        <v>875</v>
      </c>
      <c r="I5" s="47" t="s">
        <v>876</v>
      </c>
      <c r="J5" s="47" t="s">
        <v>203</v>
      </c>
      <c r="K5" s="47"/>
      <c r="L5" s="47" t="s">
        <v>33</v>
      </c>
      <c r="M5" s="65">
        <v>45672</v>
      </c>
      <c r="N5" s="47" t="s">
        <v>877</v>
      </c>
      <c r="O5" s="47" t="s">
        <v>881</v>
      </c>
      <c r="P5" s="150" t="s">
        <v>1466</v>
      </c>
      <c r="Z5" t="s">
        <v>1011</v>
      </c>
      <c r="AA5">
        <f>COUNTIF($J$4:$J$500,"Y")</f>
        <v>1</v>
      </c>
    </row>
    <row r="6" spans="1:27" x14ac:dyDescent="0.2">
      <c r="A6" s="47" t="s">
        <v>882</v>
      </c>
      <c r="B6" s="47" t="s">
        <v>213</v>
      </c>
      <c r="C6" s="47" t="s">
        <v>883</v>
      </c>
      <c r="D6" s="47" t="s">
        <v>884</v>
      </c>
      <c r="E6" s="47">
        <v>5242880</v>
      </c>
      <c r="F6" s="47" t="s">
        <v>885</v>
      </c>
      <c r="G6" s="47" t="s">
        <v>886</v>
      </c>
      <c r="H6" s="47" t="s">
        <v>887</v>
      </c>
      <c r="I6" s="47" t="s">
        <v>876</v>
      </c>
      <c r="J6" s="47" t="s">
        <v>203</v>
      </c>
      <c r="K6" s="47"/>
      <c r="L6" s="47" t="s">
        <v>203</v>
      </c>
      <c r="M6" s="65">
        <v>45673</v>
      </c>
      <c r="N6" s="47" t="s">
        <v>888</v>
      </c>
      <c r="O6" s="47" t="s">
        <v>889</v>
      </c>
      <c r="P6" s="150" t="s">
        <v>1581</v>
      </c>
      <c r="Z6" t="s">
        <v>1012</v>
      </c>
      <c r="AA6">
        <f>COUNTIF($I$4:$I$500,"Verified")</f>
        <v>3</v>
      </c>
    </row>
    <row r="7" spans="1:27" x14ac:dyDescent="0.2">
      <c r="A7" s="47" t="s">
        <v>890</v>
      </c>
      <c r="B7" s="47" t="s">
        <v>237</v>
      </c>
      <c r="C7" s="47" t="s">
        <v>891</v>
      </c>
      <c r="D7" s="47" t="s">
        <v>892</v>
      </c>
      <c r="E7" s="47">
        <v>44100000</v>
      </c>
      <c r="F7" s="47" t="s">
        <v>203</v>
      </c>
      <c r="G7" s="47"/>
      <c r="H7" s="47"/>
      <c r="I7" s="66" t="s">
        <v>893</v>
      </c>
      <c r="J7" s="67" t="s">
        <v>33</v>
      </c>
      <c r="K7" s="47" t="s">
        <v>894</v>
      </c>
      <c r="L7" s="47" t="s">
        <v>313</v>
      </c>
      <c r="M7" s="65">
        <v>45673</v>
      </c>
      <c r="N7" s="47" t="s">
        <v>888</v>
      </c>
      <c r="O7" s="47" t="s">
        <v>895</v>
      </c>
      <c r="P7" s="150" t="s">
        <v>1582</v>
      </c>
    </row>
    <row r="8" spans="1:27" x14ac:dyDescent="0.2">
      <c r="A8" s="47" t="s">
        <v>896</v>
      </c>
      <c r="B8" s="47" t="s">
        <v>249</v>
      </c>
      <c r="C8" s="47" t="s">
        <v>897</v>
      </c>
      <c r="D8" s="47" t="s">
        <v>898</v>
      </c>
      <c r="E8" s="47">
        <v>8192</v>
      </c>
      <c r="F8" s="47" t="s">
        <v>203</v>
      </c>
      <c r="G8" s="47"/>
      <c r="H8" s="47"/>
      <c r="I8" s="68" t="s">
        <v>899</v>
      </c>
      <c r="J8" s="47" t="s">
        <v>203</v>
      </c>
      <c r="K8" s="47"/>
      <c r="L8" s="47" t="s">
        <v>900</v>
      </c>
      <c r="M8" s="65">
        <v>45673</v>
      </c>
      <c r="N8" s="47" t="s">
        <v>877</v>
      </c>
      <c r="O8" s="47" t="s">
        <v>901</v>
      </c>
      <c r="P8" s="150" t="s">
        <v>835</v>
      </c>
      <c r="Z8" s="70" t="s">
        <v>1583</v>
      </c>
    </row>
    <row r="9" spans="1:27" x14ac:dyDescent="0.2">
      <c r="Z9" t="s">
        <v>1584</v>
      </c>
      <c r="AA9">
        <f>COUNTIF($P$4:$P$500,"QA")</f>
        <v>2</v>
      </c>
    </row>
    <row r="10" spans="1:27" x14ac:dyDescent="0.2">
      <c r="Z10" t="s">
        <v>1585</v>
      </c>
      <c r="AA10">
        <f>COUNTIF($P$4:$P$500,"QB")</f>
        <v>1</v>
      </c>
    </row>
    <row r="11" spans="1:27" x14ac:dyDescent="0.2">
      <c r="Z11" t="s">
        <v>1586</v>
      </c>
      <c r="AA11">
        <f>COUNTIF($P$4:$P$500,"QC")</f>
        <v>0</v>
      </c>
    </row>
    <row r="12" spans="1:27" x14ac:dyDescent="0.2">
      <c r="Z12" t="s">
        <v>1587</v>
      </c>
      <c r="AA12">
        <f>COUNTIF($P$4:$P$500,"QX")</f>
        <v>1</v>
      </c>
    </row>
  </sheetData>
  <mergeCells count="2">
    <mergeCell ref="A1:O1"/>
    <mergeCell ref="A2:O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575D7-D906-D74F-BDE9-81064ADF5364}">
  <dimension ref="A1:X200"/>
  <sheetViews>
    <sheetView workbookViewId="0">
      <pane ySplit="3" topLeftCell="A4" activePane="bottomLeft" state="frozen"/>
      <selection pane="bottomLeft" sqref="A1:S1"/>
    </sheetView>
  </sheetViews>
  <sheetFormatPr baseColWidth="10" defaultRowHeight="16" x14ac:dyDescent="0.2"/>
  <cols>
    <col min="1" max="1" width="10" customWidth="1"/>
    <col min="2" max="2" width="33.33203125" customWidth="1"/>
    <col min="3" max="3" width="50" customWidth="1"/>
    <col min="4" max="4" width="15" customWidth="1"/>
    <col min="5" max="5" width="11.6640625" customWidth="1"/>
    <col min="6" max="6" width="16.6640625" customWidth="1"/>
    <col min="7" max="7" width="18.33203125" customWidth="1"/>
    <col min="8" max="8" width="10" customWidth="1"/>
    <col min="9" max="9" width="21.6640625" customWidth="1"/>
    <col min="10" max="10" width="12.5" customWidth="1"/>
    <col min="11" max="11" width="21.6640625" customWidth="1"/>
    <col min="12" max="12" width="18.33203125" customWidth="1"/>
    <col min="13" max="13" width="28.33203125" customWidth="1"/>
    <col min="14" max="14" width="12.5" customWidth="1"/>
    <col min="15" max="15" width="13.33203125" customWidth="1"/>
    <col min="16" max="16" width="15.83203125" customWidth="1"/>
    <col min="17" max="18" width="15" customWidth="1"/>
    <col min="19" max="19" width="33.33203125" customWidth="1"/>
    <col min="23" max="23" width="13.33203125" customWidth="1"/>
    <col min="24" max="24" width="33.33203125" customWidth="1"/>
  </cols>
  <sheetData>
    <row r="1" spans="1:24" ht="19" x14ac:dyDescent="0.25">
      <c r="A1" s="396" t="s">
        <v>902</v>
      </c>
      <c r="B1" s="396"/>
      <c r="C1" s="396"/>
      <c r="D1" s="396"/>
      <c r="E1" s="396"/>
      <c r="F1" s="396"/>
      <c r="G1" s="396"/>
      <c r="H1" s="396"/>
      <c r="I1" s="396"/>
      <c r="J1" s="396"/>
      <c r="K1" s="396"/>
      <c r="L1" s="396"/>
      <c r="M1" s="396"/>
      <c r="N1" s="396"/>
      <c r="O1" s="396"/>
      <c r="P1" s="396"/>
      <c r="Q1" s="396"/>
      <c r="R1" s="396"/>
      <c r="S1" s="396"/>
      <c r="U1" s="80" t="s">
        <v>1000</v>
      </c>
      <c r="V1" s="81"/>
    </row>
    <row r="2" spans="1:24" x14ac:dyDescent="0.2">
      <c r="A2" s="412" t="s">
        <v>903</v>
      </c>
      <c r="B2" s="412"/>
      <c r="C2" s="412"/>
      <c r="D2" s="412"/>
      <c r="E2" s="412"/>
      <c r="F2" s="412"/>
      <c r="G2" s="412"/>
      <c r="H2" s="412"/>
      <c r="I2" s="412"/>
      <c r="J2" s="412"/>
      <c r="K2" s="412"/>
      <c r="L2" s="412"/>
      <c r="M2" s="412"/>
      <c r="N2" s="412"/>
      <c r="O2" s="412"/>
      <c r="P2" s="412"/>
      <c r="Q2" s="412"/>
      <c r="R2" s="412"/>
      <c r="S2" s="412"/>
      <c r="U2" t="s">
        <v>1001</v>
      </c>
      <c r="V2">
        <f>COUNTA($B$4:$B$1000)</f>
        <v>4</v>
      </c>
      <c r="W2" s="179" t="s">
        <v>1666</v>
      </c>
    </row>
    <row r="3" spans="1:24" x14ac:dyDescent="0.2">
      <c r="A3" s="37" t="s">
        <v>904</v>
      </c>
      <c r="B3" s="38" t="s">
        <v>905</v>
      </c>
      <c r="C3" s="38" t="s">
        <v>906</v>
      </c>
      <c r="D3" s="38" t="s">
        <v>907</v>
      </c>
      <c r="E3" s="38" t="s">
        <v>908</v>
      </c>
      <c r="F3" s="38" t="s">
        <v>909</v>
      </c>
      <c r="G3" s="38" t="s">
        <v>910</v>
      </c>
      <c r="H3" s="37" t="s">
        <v>159</v>
      </c>
      <c r="I3" s="71" t="s">
        <v>911</v>
      </c>
      <c r="J3" s="71" t="s">
        <v>912</v>
      </c>
      <c r="K3" s="72" t="s">
        <v>913</v>
      </c>
      <c r="L3" s="37" t="s">
        <v>160</v>
      </c>
      <c r="M3" s="37" t="s">
        <v>914</v>
      </c>
      <c r="N3" s="73" t="s">
        <v>915</v>
      </c>
      <c r="O3" s="73" t="s">
        <v>916</v>
      </c>
      <c r="P3" s="72" t="s">
        <v>917</v>
      </c>
      <c r="Q3" s="37" t="s">
        <v>918</v>
      </c>
      <c r="R3" s="37" t="s">
        <v>21</v>
      </c>
      <c r="S3" s="37" t="s">
        <v>24</v>
      </c>
      <c r="U3" s="82" t="s">
        <v>738</v>
      </c>
      <c r="V3">
        <f>COUNTIF($I$4:$I$1000,"NOIZYANTHROPIC")</f>
        <v>2</v>
      </c>
      <c r="W3" s="178" t="s">
        <v>1664</v>
      </c>
      <c r="X3" s="5" t="s">
        <v>1665</v>
      </c>
    </row>
    <row r="4" spans="1:24" x14ac:dyDescent="0.2">
      <c r="A4" s="39" t="s">
        <v>919</v>
      </c>
      <c r="B4" s="39" t="s">
        <v>920</v>
      </c>
      <c r="C4" s="39" t="s">
        <v>921</v>
      </c>
      <c r="D4" s="39">
        <v>480000</v>
      </c>
      <c r="E4" s="39" t="s">
        <v>215</v>
      </c>
      <c r="F4" s="74">
        <v>45301</v>
      </c>
      <c r="G4" s="39" t="s">
        <v>922</v>
      </c>
      <c r="H4" s="39" t="str">
        <f>IF($B4="","",IF(E4="","N","Y"))</f>
        <v>Y</v>
      </c>
      <c r="I4" s="39" t="str">
        <f>IF($B4="","",IF(ISNUMBER(SEARCH("NOIZYANTHROPIC",B4&amp;C4)),"NOIZYANTHROPIC",IF(ISNUMBER(SEARCH("METABEAST",B4&amp;C4)),"METABEAST",IF(ISNUMBER(SEARCH("META",B4&amp;C4)),"METABEAST",IF(ISNUMBER(SEARCH("NOIZYBEAST",B4&amp;C4)),"NOIZYBEAST",IF(ISNUMBER(SEARCH("BEAST",B4&amp;C4)),"NOIZYBEAST",IF(ISNUMBER(SEARCH("NA_",B4&amp;C4)),"NOIZYANTHROPIC",IF(ISNUMBER(SEARCH("NB_",B4&amp;C4)),"NOIZYBEAST",IF(ISNUMBER(SEARCH("MB_",B4&amp;C4)),"METABEAST","—")))))))))</f>
        <v>NOIZYANTHROPIC</v>
      </c>
      <c r="J4" s="39" t="str">
        <f>IF($B4="","",IF(OR(ISNUMBER(SEARCH("NOIZYANTHROPIC",B4&amp;C4)),ISNUMBER(SEARCH("METABEAST",B4&amp;C4)),ISNUMBER(SEARCH("NOIZYBEAST",B4&amp;C4))),"High",IF(I4="—","—","Low")))</f>
        <v>High</v>
      </c>
      <c r="K4" s="39" t="s">
        <v>923</v>
      </c>
      <c r="L4" s="39" t="str">
        <f>IF($B4="","",IF(OR(ISNUMBER(SEARCH(".wav",B4)),ISNUMBER(SEARCH(".aif",B4)),ISNUMBER(SEARCH(".flac",B4)),ISNUMBER(SEARCH(".mp3",B4)),ISNUMBER(SEARCH(".ogg",B4)),ISNUMBER(SEARCH(".caf",B4))),"Audio",IF(H4="N","Orphan-Review","Data")))</f>
        <v>Audio</v>
      </c>
      <c r="M4" s="39" t="str">
        <f>IF($B4="","",IF(I4="NOIZYANTHROPIC","/Pristine/NOIZYANTHROPIC/",IF(I4="NOIZYBEAST","/Pristine/NOIZYBEAST/",IF(I4="METABEAST","/Pristine/METABEAST/","/Pristine/_UNSORTED/"))))</f>
        <v>/Pristine/NOIZYANTHROPIC/</v>
      </c>
      <c r="N4" s="39">
        <f>IF($B4="","",IF(G4="","",COUNTIF($G$4:$G$1000,G4)))</f>
        <v>2</v>
      </c>
      <c r="O4" s="39" t="str">
        <f>IF($B4="","",IF(G4="","",IF(N4&gt;1,"DUP","unique")))</f>
        <v>DUP</v>
      </c>
      <c r="P4" s="39">
        <f>IF($B4="","",IF(K4="","",COUNTIF($K$4:$K$1000,K4)))</f>
        <v>2</v>
      </c>
      <c r="Q4" s="39"/>
      <c r="R4" s="39"/>
      <c r="S4" s="39"/>
      <c r="U4" t="s">
        <v>747</v>
      </c>
      <c r="V4">
        <f>COUNTIF($I$4:$I$1000,"NOIZYBEAST")</f>
        <v>0</v>
      </c>
      <c r="X4" t="str">
        <f>IF($B4="","",IF($W4="Y","✅ SAFE TO MOVE","🔒 DO NOT DELETE — not 3-2-1"))</f>
        <v>🔒 DO NOT DELETE — not 3-2-1</v>
      </c>
    </row>
    <row r="5" spans="1:24" x14ac:dyDescent="0.2">
      <c r="A5" s="39" t="s">
        <v>924</v>
      </c>
      <c r="B5" s="39" t="s">
        <v>925</v>
      </c>
      <c r="C5" s="39" t="s">
        <v>926</v>
      </c>
      <c r="D5" s="39">
        <v>960000</v>
      </c>
      <c r="E5" s="39" t="s">
        <v>215</v>
      </c>
      <c r="F5" s="74">
        <v>45323</v>
      </c>
      <c r="G5" s="39" t="s">
        <v>927</v>
      </c>
      <c r="H5" s="39" t="str">
        <f t="shared" ref="H5:H68" si="0">IF($B5="","",IF(E5="","N","Y"))</f>
        <v>Y</v>
      </c>
      <c r="I5" s="39" t="str">
        <f t="shared" ref="I5:I68" si="1">IF($B5="","",IF(ISNUMBER(SEARCH("NOIZYANTHROPIC",B5&amp;C5)),"NOIZYANTHROPIC",IF(ISNUMBER(SEARCH("METABEAST",B5&amp;C5)),"METABEAST",IF(ISNUMBER(SEARCH("META",B5&amp;C5)),"METABEAST",IF(ISNUMBER(SEARCH("NOIZYBEAST",B5&amp;C5)),"NOIZYBEAST",IF(ISNUMBER(SEARCH("BEAST",B5&amp;C5)),"NOIZYBEAST",IF(ISNUMBER(SEARCH("NA_",B5&amp;C5)),"NOIZYANTHROPIC",IF(ISNUMBER(SEARCH("NB_",B5&amp;C5)),"NOIZYBEAST",IF(ISNUMBER(SEARCH("MB_",B5&amp;C5)),"METABEAST","—")))))))))</f>
        <v>METABEAST</v>
      </c>
      <c r="J5" s="39" t="str">
        <f t="shared" ref="J5:J68" si="2">IF($B5="","",IF(OR(ISNUMBER(SEARCH("NOIZYANTHROPIC",B5&amp;C5)),ISNUMBER(SEARCH("METABEAST",B5&amp;C5)),ISNUMBER(SEARCH("NOIZYBEAST",B5&amp;C5))),"High",IF(I5="—","—","Low")))</f>
        <v>High</v>
      </c>
      <c r="K5" s="39" t="s">
        <v>928</v>
      </c>
      <c r="L5" s="39" t="str">
        <f t="shared" ref="L5:L68" si="3">IF($B5="","",IF(OR(ISNUMBER(SEARCH(".wav",B5)),ISNUMBER(SEARCH(".aif",B5)),ISNUMBER(SEARCH(".flac",B5)),ISNUMBER(SEARCH(".mp3",B5)),ISNUMBER(SEARCH(".ogg",B5)),ISNUMBER(SEARCH(".caf",B5))),"Audio",IF(H5="N","Orphan-Review","Data")))</f>
        <v>Audio</v>
      </c>
      <c r="M5" s="39" t="str">
        <f t="shared" ref="M5:M68" si="4">IF($B5="","",IF(I5="NOIZYANTHROPIC","/Pristine/NOIZYANTHROPIC/",IF(I5="NOIZYBEAST","/Pristine/NOIZYBEAST/",IF(I5="METABEAST","/Pristine/METABEAST/","/Pristine/_UNSORTED/"))))</f>
        <v>/Pristine/METABEAST/</v>
      </c>
      <c r="N5" s="39">
        <f t="shared" ref="N5:N68" si="5">IF($B5="","",IF(G5="","",COUNTIF($G$4:$G$1000,G5)))</f>
        <v>1</v>
      </c>
      <c r="O5" s="39" t="str">
        <f t="shared" ref="O5:O68" si="6">IF($B5="","",IF(G5="","",IF(N5&gt;1,"DUP","unique")))</f>
        <v>unique</v>
      </c>
      <c r="P5" s="39">
        <f t="shared" ref="P5:P68" si="7">IF($B5="","",IF(K5="","",COUNTIF($K$4:$K$1000,K5)))</f>
        <v>1</v>
      </c>
      <c r="Q5" s="39"/>
      <c r="R5" s="39"/>
      <c r="S5" s="39"/>
      <c r="U5" t="s">
        <v>755</v>
      </c>
      <c r="V5">
        <f>COUNTIF($I$4:$I$1000,"METABEAST")</f>
        <v>1</v>
      </c>
      <c r="X5" t="str">
        <f t="shared" ref="X5:X68" si="8">IF($B5="","",IF($W5="Y","✅ SAFE TO MOVE","🔒 DO NOT DELETE — not 3-2-1"))</f>
        <v>🔒 DO NOT DELETE — not 3-2-1</v>
      </c>
    </row>
    <row r="6" spans="1:24" x14ac:dyDescent="0.2">
      <c r="A6" s="39" t="s">
        <v>929</v>
      </c>
      <c r="B6" s="39" t="s">
        <v>930</v>
      </c>
      <c r="C6" s="39" t="s">
        <v>931</v>
      </c>
      <c r="D6" s="39">
        <v>480000</v>
      </c>
      <c r="E6" s="39"/>
      <c r="F6" s="74">
        <v>45265</v>
      </c>
      <c r="G6" s="39" t="s">
        <v>922</v>
      </c>
      <c r="H6" s="39" t="str">
        <f t="shared" si="0"/>
        <v>N</v>
      </c>
      <c r="I6" s="39" t="str">
        <f t="shared" si="1"/>
        <v>—</v>
      </c>
      <c r="J6" s="39" t="str">
        <f t="shared" si="2"/>
        <v>—</v>
      </c>
      <c r="K6" s="39"/>
      <c r="L6" s="39" t="str">
        <f t="shared" si="3"/>
        <v>Orphan-Review</v>
      </c>
      <c r="M6" s="39" t="str">
        <f t="shared" si="4"/>
        <v>/Pristine/_UNSORTED/</v>
      </c>
      <c r="N6" s="39">
        <f t="shared" si="5"/>
        <v>2</v>
      </c>
      <c r="O6" s="39" t="str">
        <f t="shared" si="6"/>
        <v>DUP</v>
      </c>
      <c r="P6" s="39" t="str">
        <f t="shared" si="7"/>
        <v/>
      </c>
      <c r="Q6" s="39"/>
      <c r="R6" s="39"/>
      <c r="S6" s="39"/>
      <c r="U6" t="s">
        <v>1002</v>
      </c>
      <c r="V6">
        <f>COUNTIF($I$4:$I$1000,"—")</f>
        <v>1</v>
      </c>
      <c r="X6" t="str">
        <f t="shared" si="8"/>
        <v>🔒 DO NOT DELETE — not 3-2-1</v>
      </c>
    </row>
    <row r="7" spans="1:24" x14ac:dyDescent="0.2">
      <c r="A7" s="39" t="s">
        <v>932</v>
      </c>
      <c r="B7" s="39" t="s">
        <v>933</v>
      </c>
      <c r="C7" s="39" t="s">
        <v>934</v>
      </c>
      <c r="D7" s="39">
        <v>300000</v>
      </c>
      <c r="E7" s="39" t="s">
        <v>215</v>
      </c>
      <c r="F7" s="74">
        <v>45301</v>
      </c>
      <c r="G7" s="39" t="s">
        <v>935</v>
      </c>
      <c r="H7" s="39" t="str">
        <f t="shared" si="0"/>
        <v>Y</v>
      </c>
      <c r="I7" s="39" t="str">
        <f t="shared" si="1"/>
        <v>NOIZYANTHROPIC</v>
      </c>
      <c r="J7" s="39" t="str">
        <f t="shared" si="2"/>
        <v>High</v>
      </c>
      <c r="K7" s="39" t="s">
        <v>923</v>
      </c>
      <c r="L7" s="39" t="str">
        <f t="shared" si="3"/>
        <v>Audio</v>
      </c>
      <c r="M7" s="39" t="str">
        <f t="shared" si="4"/>
        <v>/Pristine/NOIZYANTHROPIC/</v>
      </c>
      <c r="N7" s="39">
        <f t="shared" si="5"/>
        <v>1</v>
      </c>
      <c r="O7" s="39" t="str">
        <f t="shared" si="6"/>
        <v>unique</v>
      </c>
      <c r="P7" s="39">
        <f t="shared" si="7"/>
        <v>2</v>
      </c>
      <c r="Q7" s="39"/>
      <c r="R7" s="39"/>
      <c r="S7" s="39"/>
      <c r="U7" t="s">
        <v>1003</v>
      </c>
      <c r="V7">
        <f>COUNTIF($L$4:$L$1000,"Audio")</f>
        <v>3</v>
      </c>
      <c r="X7" t="str">
        <f t="shared" si="8"/>
        <v>🔒 DO NOT DELETE — not 3-2-1</v>
      </c>
    </row>
    <row r="8" spans="1:24" x14ac:dyDescent="0.2">
      <c r="A8" s="39"/>
      <c r="B8" s="39"/>
      <c r="C8" s="39"/>
      <c r="D8" s="39"/>
      <c r="E8" s="39"/>
      <c r="F8" s="39"/>
      <c r="G8" s="39"/>
      <c r="H8" s="39" t="str">
        <f t="shared" si="0"/>
        <v/>
      </c>
      <c r="I8" s="39" t="str">
        <f t="shared" si="1"/>
        <v/>
      </c>
      <c r="J8" s="39" t="str">
        <f t="shared" si="2"/>
        <v/>
      </c>
      <c r="K8" s="39"/>
      <c r="L8" s="39" t="str">
        <f t="shared" si="3"/>
        <v/>
      </c>
      <c r="M8" s="39" t="str">
        <f t="shared" si="4"/>
        <v/>
      </c>
      <c r="N8" s="39" t="str">
        <f t="shared" si="5"/>
        <v/>
      </c>
      <c r="O8" s="39" t="str">
        <f t="shared" si="6"/>
        <v/>
      </c>
      <c r="P8" s="39" t="str">
        <f t="shared" si="7"/>
        <v/>
      </c>
      <c r="Q8" s="39"/>
      <c r="R8" s="39"/>
      <c r="S8" s="39"/>
      <c r="U8" t="s">
        <v>1004</v>
      </c>
      <c r="V8">
        <f>COUNTIF($L$4:$L$1000,"Orphan-Review")</f>
        <v>1</v>
      </c>
      <c r="X8" t="str">
        <f t="shared" si="8"/>
        <v/>
      </c>
    </row>
    <row r="9" spans="1:24" x14ac:dyDescent="0.2">
      <c r="A9" s="39"/>
      <c r="B9" s="39"/>
      <c r="C9" s="39"/>
      <c r="D9" s="39"/>
      <c r="E9" s="39"/>
      <c r="F9" s="39"/>
      <c r="G9" s="39"/>
      <c r="H9" s="39" t="str">
        <f t="shared" si="0"/>
        <v/>
      </c>
      <c r="I9" s="39" t="str">
        <f t="shared" si="1"/>
        <v/>
      </c>
      <c r="J9" s="39" t="str">
        <f t="shared" si="2"/>
        <v/>
      </c>
      <c r="K9" s="39"/>
      <c r="L9" s="39" t="str">
        <f t="shared" si="3"/>
        <v/>
      </c>
      <c r="M9" s="39" t="str">
        <f t="shared" si="4"/>
        <v/>
      </c>
      <c r="N9" s="39" t="str">
        <f t="shared" si="5"/>
        <v/>
      </c>
      <c r="O9" s="39" t="str">
        <f t="shared" si="6"/>
        <v/>
      </c>
      <c r="P9" s="39" t="str">
        <f t="shared" si="7"/>
        <v/>
      </c>
      <c r="Q9" s="39"/>
      <c r="R9" s="39"/>
      <c r="S9" s="39"/>
      <c r="U9" t="s">
        <v>1005</v>
      </c>
      <c r="V9">
        <f>COUNTIF($O$4:$O$1000,"DUP")</f>
        <v>2</v>
      </c>
      <c r="X9" t="str">
        <f t="shared" si="8"/>
        <v/>
      </c>
    </row>
    <row r="10" spans="1:24" x14ac:dyDescent="0.2">
      <c r="A10" s="39"/>
      <c r="B10" s="39"/>
      <c r="C10" s="39"/>
      <c r="D10" s="39"/>
      <c r="E10" s="39"/>
      <c r="F10" s="39"/>
      <c r="G10" s="39"/>
      <c r="H10" s="39" t="str">
        <f t="shared" si="0"/>
        <v/>
      </c>
      <c r="I10" s="39" t="str">
        <f t="shared" si="1"/>
        <v/>
      </c>
      <c r="J10" s="39" t="str">
        <f t="shared" si="2"/>
        <v/>
      </c>
      <c r="K10" s="39"/>
      <c r="L10" s="39" t="str">
        <f t="shared" si="3"/>
        <v/>
      </c>
      <c r="M10" s="39" t="str">
        <f t="shared" si="4"/>
        <v/>
      </c>
      <c r="N10" s="39" t="str">
        <f t="shared" si="5"/>
        <v/>
      </c>
      <c r="O10" s="39" t="str">
        <f t="shared" si="6"/>
        <v/>
      </c>
      <c r="P10" s="39" t="str">
        <f t="shared" si="7"/>
        <v/>
      </c>
      <c r="Q10" s="39"/>
      <c r="R10" s="39"/>
      <c r="S10" s="39"/>
      <c r="U10" t="s">
        <v>1006</v>
      </c>
      <c r="V10">
        <f>COUNTIF($O$4:$O$1000,"unique")</f>
        <v>2</v>
      </c>
      <c r="X10" t="str">
        <f t="shared" si="8"/>
        <v/>
      </c>
    </row>
    <row r="11" spans="1:24" x14ac:dyDescent="0.2">
      <c r="A11" s="39"/>
      <c r="B11" s="39"/>
      <c r="C11" s="39"/>
      <c r="D11" s="39"/>
      <c r="E11" s="39"/>
      <c r="F11" s="39"/>
      <c r="G11" s="39"/>
      <c r="H11" s="39" t="str">
        <f t="shared" si="0"/>
        <v/>
      </c>
      <c r="I11" s="39" t="str">
        <f t="shared" si="1"/>
        <v/>
      </c>
      <c r="J11" s="39" t="str">
        <f t="shared" si="2"/>
        <v/>
      </c>
      <c r="K11" s="39"/>
      <c r="L11" s="39" t="str">
        <f t="shared" si="3"/>
        <v/>
      </c>
      <c r="M11" s="39" t="str">
        <f t="shared" si="4"/>
        <v/>
      </c>
      <c r="N11" s="39" t="str">
        <f t="shared" si="5"/>
        <v/>
      </c>
      <c r="O11" s="39" t="str">
        <f t="shared" si="6"/>
        <v/>
      </c>
      <c r="P11" s="39" t="str">
        <f t="shared" si="7"/>
        <v/>
      </c>
      <c r="Q11" s="39"/>
      <c r="R11" s="39"/>
      <c r="S11" s="39"/>
      <c r="X11" t="str">
        <f t="shared" si="8"/>
        <v/>
      </c>
    </row>
    <row r="12" spans="1:24" x14ac:dyDescent="0.2">
      <c r="A12" s="39"/>
      <c r="B12" s="39"/>
      <c r="C12" s="39"/>
      <c r="D12" s="39"/>
      <c r="E12" s="39"/>
      <c r="F12" s="39"/>
      <c r="G12" s="39"/>
      <c r="H12" s="39" t="str">
        <f t="shared" si="0"/>
        <v/>
      </c>
      <c r="I12" s="39" t="str">
        <f t="shared" si="1"/>
        <v/>
      </c>
      <c r="J12" s="39" t="str">
        <f t="shared" si="2"/>
        <v/>
      </c>
      <c r="K12" s="39"/>
      <c r="L12" s="39" t="str">
        <f t="shared" si="3"/>
        <v/>
      </c>
      <c r="M12" s="39" t="str">
        <f t="shared" si="4"/>
        <v/>
      </c>
      <c r="N12" s="39" t="str">
        <f t="shared" si="5"/>
        <v/>
      </c>
      <c r="O12" s="39" t="str">
        <f t="shared" si="6"/>
        <v/>
      </c>
      <c r="P12" s="39" t="str">
        <f t="shared" si="7"/>
        <v/>
      </c>
      <c r="Q12" s="39"/>
      <c r="R12" s="39"/>
      <c r="S12" s="39"/>
      <c r="X12" t="str">
        <f t="shared" si="8"/>
        <v/>
      </c>
    </row>
    <row r="13" spans="1:24" x14ac:dyDescent="0.2">
      <c r="A13" s="39"/>
      <c r="B13" s="39"/>
      <c r="C13" s="39"/>
      <c r="D13" s="39"/>
      <c r="E13" s="39"/>
      <c r="F13" s="39"/>
      <c r="G13" s="39"/>
      <c r="H13" s="39" t="str">
        <f t="shared" si="0"/>
        <v/>
      </c>
      <c r="I13" s="39" t="str">
        <f t="shared" si="1"/>
        <v/>
      </c>
      <c r="J13" s="39" t="str">
        <f t="shared" si="2"/>
        <v/>
      </c>
      <c r="K13" s="39"/>
      <c r="L13" s="39" t="str">
        <f t="shared" si="3"/>
        <v/>
      </c>
      <c r="M13" s="39" t="str">
        <f t="shared" si="4"/>
        <v/>
      </c>
      <c r="N13" s="39" t="str">
        <f t="shared" si="5"/>
        <v/>
      </c>
      <c r="O13" s="39" t="str">
        <f t="shared" si="6"/>
        <v/>
      </c>
      <c r="P13" s="39" t="str">
        <f t="shared" si="7"/>
        <v/>
      </c>
      <c r="Q13" s="39"/>
      <c r="R13" s="39"/>
      <c r="S13" s="39"/>
      <c r="X13" t="str">
        <f t="shared" si="8"/>
        <v/>
      </c>
    </row>
    <row r="14" spans="1:24" x14ac:dyDescent="0.2">
      <c r="A14" s="39"/>
      <c r="B14" s="39"/>
      <c r="C14" s="39"/>
      <c r="D14" s="39"/>
      <c r="E14" s="39"/>
      <c r="F14" s="39"/>
      <c r="G14" s="39"/>
      <c r="H14" s="39" t="str">
        <f t="shared" si="0"/>
        <v/>
      </c>
      <c r="I14" s="39" t="str">
        <f t="shared" si="1"/>
        <v/>
      </c>
      <c r="J14" s="39" t="str">
        <f t="shared" si="2"/>
        <v/>
      </c>
      <c r="K14" s="39"/>
      <c r="L14" s="39" t="str">
        <f t="shared" si="3"/>
        <v/>
      </c>
      <c r="M14" s="39" t="str">
        <f t="shared" si="4"/>
        <v/>
      </c>
      <c r="N14" s="39" t="str">
        <f t="shared" si="5"/>
        <v/>
      </c>
      <c r="O14" s="39" t="str">
        <f t="shared" si="6"/>
        <v/>
      </c>
      <c r="P14" s="39" t="str">
        <f t="shared" si="7"/>
        <v/>
      </c>
      <c r="Q14" s="39"/>
      <c r="R14" s="39"/>
      <c r="S14" s="39"/>
      <c r="X14" t="str">
        <f t="shared" si="8"/>
        <v/>
      </c>
    </row>
    <row r="15" spans="1:24" x14ac:dyDescent="0.2">
      <c r="A15" s="39"/>
      <c r="B15" s="39"/>
      <c r="C15" s="39"/>
      <c r="D15" s="39"/>
      <c r="E15" s="39"/>
      <c r="F15" s="39"/>
      <c r="G15" s="39"/>
      <c r="H15" s="39" t="str">
        <f t="shared" si="0"/>
        <v/>
      </c>
      <c r="I15" s="39" t="str">
        <f t="shared" si="1"/>
        <v/>
      </c>
      <c r="J15" s="39" t="str">
        <f t="shared" si="2"/>
        <v/>
      </c>
      <c r="K15" s="39"/>
      <c r="L15" s="39" t="str">
        <f t="shared" si="3"/>
        <v/>
      </c>
      <c r="M15" s="39" t="str">
        <f t="shared" si="4"/>
        <v/>
      </c>
      <c r="N15" s="39" t="str">
        <f t="shared" si="5"/>
        <v/>
      </c>
      <c r="O15" s="39" t="str">
        <f t="shared" si="6"/>
        <v/>
      </c>
      <c r="P15" s="39" t="str">
        <f t="shared" si="7"/>
        <v/>
      </c>
      <c r="Q15" s="39"/>
      <c r="R15" s="39"/>
      <c r="S15" s="39"/>
      <c r="X15" t="str">
        <f t="shared" si="8"/>
        <v/>
      </c>
    </row>
    <row r="16" spans="1:24" x14ac:dyDescent="0.2">
      <c r="A16" s="39"/>
      <c r="B16" s="39"/>
      <c r="C16" s="39"/>
      <c r="D16" s="39"/>
      <c r="E16" s="39"/>
      <c r="F16" s="39"/>
      <c r="G16" s="39"/>
      <c r="H16" s="39" t="str">
        <f t="shared" si="0"/>
        <v/>
      </c>
      <c r="I16" s="39" t="str">
        <f t="shared" si="1"/>
        <v/>
      </c>
      <c r="J16" s="39" t="str">
        <f t="shared" si="2"/>
        <v/>
      </c>
      <c r="K16" s="39"/>
      <c r="L16" s="39" t="str">
        <f t="shared" si="3"/>
        <v/>
      </c>
      <c r="M16" s="39" t="str">
        <f t="shared" si="4"/>
        <v/>
      </c>
      <c r="N16" s="39" t="str">
        <f t="shared" si="5"/>
        <v/>
      </c>
      <c r="O16" s="39" t="str">
        <f t="shared" si="6"/>
        <v/>
      </c>
      <c r="P16" s="39" t="str">
        <f t="shared" si="7"/>
        <v/>
      </c>
      <c r="Q16" s="39"/>
      <c r="R16" s="39"/>
      <c r="S16" s="39"/>
      <c r="X16" t="str">
        <f t="shared" si="8"/>
        <v/>
      </c>
    </row>
    <row r="17" spans="1:24" x14ac:dyDescent="0.2">
      <c r="A17" s="39"/>
      <c r="B17" s="39"/>
      <c r="C17" s="39"/>
      <c r="D17" s="39"/>
      <c r="E17" s="39"/>
      <c r="F17" s="39"/>
      <c r="G17" s="39"/>
      <c r="H17" s="39" t="str">
        <f t="shared" si="0"/>
        <v/>
      </c>
      <c r="I17" s="39" t="str">
        <f t="shared" si="1"/>
        <v/>
      </c>
      <c r="J17" s="39" t="str">
        <f t="shared" si="2"/>
        <v/>
      </c>
      <c r="K17" s="39"/>
      <c r="L17" s="39" t="str">
        <f t="shared" si="3"/>
        <v/>
      </c>
      <c r="M17" s="39" t="str">
        <f t="shared" si="4"/>
        <v/>
      </c>
      <c r="N17" s="39" t="str">
        <f t="shared" si="5"/>
        <v/>
      </c>
      <c r="O17" s="39" t="str">
        <f t="shared" si="6"/>
        <v/>
      </c>
      <c r="P17" s="39" t="str">
        <f t="shared" si="7"/>
        <v/>
      </c>
      <c r="Q17" s="39"/>
      <c r="R17" s="39"/>
      <c r="S17" s="39"/>
      <c r="X17" t="str">
        <f t="shared" si="8"/>
        <v/>
      </c>
    </row>
    <row r="18" spans="1:24" x14ac:dyDescent="0.2">
      <c r="A18" s="39"/>
      <c r="B18" s="39"/>
      <c r="C18" s="39"/>
      <c r="D18" s="39"/>
      <c r="E18" s="39"/>
      <c r="F18" s="39"/>
      <c r="G18" s="39"/>
      <c r="H18" s="39" t="str">
        <f t="shared" si="0"/>
        <v/>
      </c>
      <c r="I18" s="39" t="str">
        <f t="shared" si="1"/>
        <v/>
      </c>
      <c r="J18" s="39" t="str">
        <f t="shared" si="2"/>
        <v/>
      </c>
      <c r="K18" s="39"/>
      <c r="L18" s="39" t="str">
        <f t="shared" si="3"/>
        <v/>
      </c>
      <c r="M18" s="39" t="str">
        <f t="shared" si="4"/>
        <v/>
      </c>
      <c r="N18" s="39" t="str">
        <f t="shared" si="5"/>
        <v/>
      </c>
      <c r="O18" s="39" t="str">
        <f t="shared" si="6"/>
        <v/>
      </c>
      <c r="P18" s="39" t="str">
        <f t="shared" si="7"/>
        <v/>
      </c>
      <c r="Q18" s="39"/>
      <c r="R18" s="39"/>
      <c r="S18" s="39"/>
      <c r="X18" t="str">
        <f t="shared" si="8"/>
        <v/>
      </c>
    </row>
    <row r="19" spans="1:24" x14ac:dyDescent="0.2">
      <c r="A19" s="39"/>
      <c r="B19" s="39"/>
      <c r="C19" s="39"/>
      <c r="D19" s="39"/>
      <c r="E19" s="39"/>
      <c r="F19" s="39"/>
      <c r="G19" s="39"/>
      <c r="H19" s="39" t="str">
        <f t="shared" si="0"/>
        <v/>
      </c>
      <c r="I19" s="39" t="str">
        <f t="shared" si="1"/>
        <v/>
      </c>
      <c r="J19" s="39" t="str">
        <f t="shared" si="2"/>
        <v/>
      </c>
      <c r="K19" s="39"/>
      <c r="L19" s="39" t="str">
        <f t="shared" si="3"/>
        <v/>
      </c>
      <c r="M19" s="39" t="str">
        <f t="shared" si="4"/>
        <v/>
      </c>
      <c r="N19" s="39" t="str">
        <f t="shared" si="5"/>
        <v/>
      </c>
      <c r="O19" s="39" t="str">
        <f t="shared" si="6"/>
        <v/>
      </c>
      <c r="P19" s="39" t="str">
        <f t="shared" si="7"/>
        <v/>
      </c>
      <c r="Q19" s="39"/>
      <c r="R19" s="39"/>
      <c r="S19" s="39"/>
      <c r="X19" t="str">
        <f t="shared" si="8"/>
        <v/>
      </c>
    </row>
    <row r="20" spans="1:24" x14ac:dyDescent="0.2">
      <c r="A20" s="39"/>
      <c r="B20" s="39"/>
      <c r="C20" s="39"/>
      <c r="D20" s="39"/>
      <c r="E20" s="39"/>
      <c r="F20" s="39"/>
      <c r="G20" s="39"/>
      <c r="H20" s="39" t="str">
        <f t="shared" si="0"/>
        <v/>
      </c>
      <c r="I20" s="39" t="str">
        <f t="shared" si="1"/>
        <v/>
      </c>
      <c r="J20" s="39" t="str">
        <f t="shared" si="2"/>
        <v/>
      </c>
      <c r="K20" s="39"/>
      <c r="L20" s="39" t="str">
        <f t="shared" si="3"/>
        <v/>
      </c>
      <c r="M20" s="39" t="str">
        <f t="shared" si="4"/>
        <v/>
      </c>
      <c r="N20" s="39" t="str">
        <f t="shared" si="5"/>
        <v/>
      </c>
      <c r="O20" s="39" t="str">
        <f t="shared" si="6"/>
        <v/>
      </c>
      <c r="P20" s="39" t="str">
        <f t="shared" si="7"/>
        <v/>
      </c>
      <c r="Q20" s="39"/>
      <c r="R20" s="39"/>
      <c r="S20" s="39"/>
      <c r="X20" t="str">
        <f t="shared" si="8"/>
        <v/>
      </c>
    </row>
    <row r="21" spans="1:24" x14ac:dyDescent="0.2">
      <c r="A21" s="39"/>
      <c r="B21" s="39"/>
      <c r="C21" s="39"/>
      <c r="D21" s="39"/>
      <c r="E21" s="39"/>
      <c r="F21" s="39"/>
      <c r="G21" s="39"/>
      <c r="H21" s="39" t="str">
        <f t="shared" si="0"/>
        <v/>
      </c>
      <c r="I21" s="39" t="str">
        <f t="shared" si="1"/>
        <v/>
      </c>
      <c r="J21" s="39" t="str">
        <f t="shared" si="2"/>
        <v/>
      </c>
      <c r="K21" s="39"/>
      <c r="L21" s="39" t="str">
        <f t="shared" si="3"/>
        <v/>
      </c>
      <c r="M21" s="39" t="str">
        <f t="shared" si="4"/>
        <v/>
      </c>
      <c r="N21" s="39" t="str">
        <f t="shared" si="5"/>
        <v/>
      </c>
      <c r="O21" s="39" t="str">
        <f t="shared" si="6"/>
        <v/>
      </c>
      <c r="P21" s="39" t="str">
        <f t="shared" si="7"/>
        <v/>
      </c>
      <c r="Q21" s="39"/>
      <c r="R21" s="39"/>
      <c r="S21" s="39"/>
      <c r="X21" t="str">
        <f t="shared" si="8"/>
        <v/>
      </c>
    </row>
    <row r="22" spans="1:24" x14ac:dyDescent="0.2">
      <c r="A22" s="39"/>
      <c r="B22" s="39"/>
      <c r="C22" s="39"/>
      <c r="D22" s="39"/>
      <c r="E22" s="39"/>
      <c r="F22" s="39"/>
      <c r="G22" s="39"/>
      <c r="H22" s="39" t="str">
        <f t="shared" si="0"/>
        <v/>
      </c>
      <c r="I22" s="39" t="str">
        <f t="shared" si="1"/>
        <v/>
      </c>
      <c r="J22" s="39" t="str">
        <f t="shared" si="2"/>
        <v/>
      </c>
      <c r="K22" s="39"/>
      <c r="L22" s="39" t="str">
        <f t="shared" si="3"/>
        <v/>
      </c>
      <c r="M22" s="39" t="str">
        <f t="shared" si="4"/>
        <v/>
      </c>
      <c r="N22" s="39" t="str">
        <f t="shared" si="5"/>
        <v/>
      </c>
      <c r="O22" s="39" t="str">
        <f t="shared" si="6"/>
        <v/>
      </c>
      <c r="P22" s="39" t="str">
        <f t="shared" si="7"/>
        <v/>
      </c>
      <c r="Q22" s="39"/>
      <c r="R22" s="39"/>
      <c r="S22" s="39"/>
      <c r="X22" t="str">
        <f t="shared" si="8"/>
        <v/>
      </c>
    </row>
    <row r="23" spans="1:24" x14ac:dyDescent="0.2">
      <c r="A23" s="39"/>
      <c r="B23" s="39"/>
      <c r="C23" s="39"/>
      <c r="D23" s="39"/>
      <c r="E23" s="39"/>
      <c r="F23" s="39"/>
      <c r="G23" s="39"/>
      <c r="H23" s="39" t="str">
        <f t="shared" si="0"/>
        <v/>
      </c>
      <c r="I23" s="39" t="str">
        <f t="shared" si="1"/>
        <v/>
      </c>
      <c r="J23" s="39" t="str">
        <f t="shared" si="2"/>
        <v/>
      </c>
      <c r="K23" s="39"/>
      <c r="L23" s="39" t="str">
        <f t="shared" si="3"/>
        <v/>
      </c>
      <c r="M23" s="39" t="str">
        <f t="shared" si="4"/>
        <v/>
      </c>
      <c r="N23" s="39" t="str">
        <f t="shared" si="5"/>
        <v/>
      </c>
      <c r="O23" s="39" t="str">
        <f t="shared" si="6"/>
        <v/>
      </c>
      <c r="P23" s="39" t="str">
        <f t="shared" si="7"/>
        <v/>
      </c>
      <c r="Q23" s="39"/>
      <c r="R23" s="39"/>
      <c r="S23" s="39"/>
      <c r="X23" t="str">
        <f t="shared" si="8"/>
        <v/>
      </c>
    </row>
    <row r="24" spans="1:24" x14ac:dyDescent="0.2">
      <c r="A24" s="39"/>
      <c r="B24" s="39"/>
      <c r="C24" s="39"/>
      <c r="D24" s="39"/>
      <c r="E24" s="39"/>
      <c r="F24" s="39"/>
      <c r="G24" s="39"/>
      <c r="H24" s="39" t="str">
        <f t="shared" si="0"/>
        <v/>
      </c>
      <c r="I24" s="39" t="str">
        <f t="shared" si="1"/>
        <v/>
      </c>
      <c r="J24" s="39" t="str">
        <f t="shared" si="2"/>
        <v/>
      </c>
      <c r="K24" s="39"/>
      <c r="L24" s="39" t="str">
        <f t="shared" si="3"/>
        <v/>
      </c>
      <c r="M24" s="39" t="str">
        <f t="shared" si="4"/>
        <v/>
      </c>
      <c r="N24" s="39" t="str">
        <f t="shared" si="5"/>
        <v/>
      </c>
      <c r="O24" s="39" t="str">
        <f t="shared" si="6"/>
        <v/>
      </c>
      <c r="P24" s="39" t="str">
        <f t="shared" si="7"/>
        <v/>
      </c>
      <c r="Q24" s="39"/>
      <c r="R24" s="39"/>
      <c r="S24" s="39"/>
      <c r="X24" t="str">
        <f t="shared" si="8"/>
        <v/>
      </c>
    </row>
    <row r="25" spans="1:24" x14ac:dyDescent="0.2">
      <c r="A25" s="39"/>
      <c r="B25" s="39"/>
      <c r="C25" s="39"/>
      <c r="D25" s="39"/>
      <c r="E25" s="39"/>
      <c r="F25" s="39"/>
      <c r="G25" s="39"/>
      <c r="H25" s="39" t="str">
        <f t="shared" si="0"/>
        <v/>
      </c>
      <c r="I25" s="39" t="str">
        <f t="shared" si="1"/>
        <v/>
      </c>
      <c r="J25" s="39" t="str">
        <f t="shared" si="2"/>
        <v/>
      </c>
      <c r="K25" s="39"/>
      <c r="L25" s="39" t="str">
        <f t="shared" si="3"/>
        <v/>
      </c>
      <c r="M25" s="39" t="str">
        <f t="shared" si="4"/>
        <v/>
      </c>
      <c r="N25" s="39" t="str">
        <f t="shared" si="5"/>
        <v/>
      </c>
      <c r="O25" s="39" t="str">
        <f t="shared" si="6"/>
        <v/>
      </c>
      <c r="P25" s="39" t="str">
        <f t="shared" si="7"/>
        <v/>
      </c>
      <c r="Q25" s="39"/>
      <c r="R25" s="39"/>
      <c r="S25" s="39"/>
      <c r="X25" t="str">
        <f t="shared" si="8"/>
        <v/>
      </c>
    </row>
    <row r="26" spans="1:24" x14ac:dyDescent="0.2">
      <c r="A26" s="39"/>
      <c r="B26" s="39"/>
      <c r="C26" s="39"/>
      <c r="D26" s="39"/>
      <c r="E26" s="39"/>
      <c r="F26" s="39"/>
      <c r="G26" s="39"/>
      <c r="H26" s="39" t="str">
        <f t="shared" si="0"/>
        <v/>
      </c>
      <c r="I26" s="39" t="str">
        <f t="shared" si="1"/>
        <v/>
      </c>
      <c r="J26" s="39" t="str">
        <f t="shared" si="2"/>
        <v/>
      </c>
      <c r="K26" s="39"/>
      <c r="L26" s="39" t="str">
        <f t="shared" si="3"/>
        <v/>
      </c>
      <c r="M26" s="39" t="str">
        <f t="shared" si="4"/>
        <v/>
      </c>
      <c r="N26" s="39" t="str">
        <f t="shared" si="5"/>
        <v/>
      </c>
      <c r="O26" s="39" t="str">
        <f t="shared" si="6"/>
        <v/>
      </c>
      <c r="P26" s="39" t="str">
        <f t="shared" si="7"/>
        <v/>
      </c>
      <c r="Q26" s="39"/>
      <c r="R26" s="39"/>
      <c r="S26" s="39"/>
      <c r="X26" t="str">
        <f t="shared" si="8"/>
        <v/>
      </c>
    </row>
    <row r="27" spans="1:24" x14ac:dyDescent="0.2">
      <c r="A27" s="39"/>
      <c r="B27" s="39"/>
      <c r="C27" s="39"/>
      <c r="D27" s="39"/>
      <c r="E27" s="39"/>
      <c r="F27" s="39"/>
      <c r="G27" s="39"/>
      <c r="H27" s="39" t="str">
        <f t="shared" si="0"/>
        <v/>
      </c>
      <c r="I27" s="39" t="str">
        <f t="shared" si="1"/>
        <v/>
      </c>
      <c r="J27" s="39" t="str">
        <f t="shared" si="2"/>
        <v/>
      </c>
      <c r="K27" s="39"/>
      <c r="L27" s="39" t="str">
        <f t="shared" si="3"/>
        <v/>
      </c>
      <c r="M27" s="39" t="str">
        <f t="shared" si="4"/>
        <v/>
      </c>
      <c r="N27" s="39" t="str">
        <f t="shared" si="5"/>
        <v/>
      </c>
      <c r="O27" s="39" t="str">
        <f t="shared" si="6"/>
        <v/>
      </c>
      <c r="P27" s="39" t="str">
        <f t="shared" si="7"/>
        <v/>
      </c>
      <c r="Q27" s="39"/>
      <c r="R27" s="39"/>
      <c r="S27" s="39"/>
      <c r="X27" t="str">
        <f t="shared" si="8"/>
        <v/>
      </c>
    </row>
    <row r="28" spans="1:24" x14ac:dyDescent="0.2">
      <c r="A28" s="39"/>
      <c r="B28" s="39"/>
      <c r="C28" s="39"/>
      <c r="D28" s="39"/>
      <c r="E28" s="39"/>
      <c r="F28" s="39"/>
      <c r="G28" s="39"/>
      <c r="H28" s="39" t="str">
        <f t="shared" si="0"/>
        <v/>
      </c>
      <c r="I28" s="39" t="str">
        <f t="shared" si="1"/>
        <v/>
      </c>
      <c r="J28" s="39" t="str">
        <f t="shared" si="2"/>
        <v/>
      </c>
      <c r="K28" s="39"/>
      <c r="L28" s="39" t="str">
        <f t="shared" si="3"/>
        <v/>
      </c>
      <c r="M28" s="39" t="str">
        <f t="shared" si="4"/>
        <v/>
      </c>
      <c r="N28" s="39" t="str">
        <f t="shared" si="5"/>
        <v/>
      </c>
      <c r="O28" s="39" t="str">
        <f t="shared" si="6"/>
        <v/>
      </c>
      <c r="P28" s="39" t="str">
        <f t="shared" si="7"/>
        <v/>
      </c>
      <c r="Q28" s="39"/>
      <c r="R28" s="39"/>
      <c r="S28" s="39"/>
      <c r="X28" t="str">
        <f t="shared" si="8"/>
        <v/>
      </c>
    </row>
    <row r="29" spans="1:24" x14ac:dyDescent="0.2">
      <c r="A29" s="39"/>
      <c r="B29" s="39"/>
      <c r="C29" s="39"/>
      <c r="D29" s="39"/>
      <c r="E29" s="39"/>
      <c r="F29" s="39"/>
      <c r="G29" s="39"/>
      <c r="H29" s="39" t="str">
        <f t="shared" si="0"/>
        <v/>
      </c>
      <c r="I29" s="39" t="str">
        <f t="shared" si="1"/>
        <v/>
      </c>
      <c r="J29" s="39" t="str">
        <f t="shared" si="2"/>
        <v/>
      </c>
      <c r="K29" s="39"/>
      <c r="L29" s="39" t="str">
        <f t="shared" si="3"/>
        <v/>
      </c>
      <c r="M29" s="39" t="str">
        <f t="shared" si="4"/>
        <v/>
      </c>
      <c r="N29" s="39" t="str">
        <f t="shared" si="5"/>
        <v/>
      </c>
      <c r="O29" s="39" t="str">
        <f t="shared" si="6"/>
        <v/>
      </c>
      <c r="P29" s="39" t="str">
        <f t="shared" si="7"/>
        <v/>
      </c>
      <c r="Q29" s="39"/>
      <c r="R29" s="39"/>
      <c r="S29" s="39"/>
      <c r="X29" t="str">
        <f t="shared" si="8"/>
        <v/>
      </c>
    </row>
    <row r="30" spans="1:24" x14ac:dyDescent="0.2">
      <c r="A30" s="39"/>
      <c r="B30" s="39"/>
      <c r="C30" s="39"/>
      <c r="D30" s="39"/>
      <c r="E30" s="39"/>
      <c r="F30" s="39"/>
      <c r="G30" s="39"/>
      <c r="H30" s="39" t="str">
        <f t="shared" si="0"/>
        <v/>
      </c>
      <c r="I30" s="39" t="str">
        <f t="shared" si="1"/>
        <v/>
      </c>
      <c r="J30" s="39" t="str">
        <f t="shared" si="2"/>
        <v/>
      </c>
      <c r="K30" s="39"/>
      <c r="L30" s="39" t="str">
        <f t="shared" si="3"/>
        <v/>
      </c>
      <c r="M30" s="39" t="str">
        <f t="shared" si="4"/>
        <v/>
      </c>
      <c r="N30" s="39" t="str">
        <f t="shared" si="5"/>
        <v/>
      </c>
      <c r="O30" s="39" t="str">
        <f t="shared" si="6"/>
        <v/>
      </c>
      <c r="P30" s="39" t="str">
        <f t="shared" si="7"/>
        <v/>
      </c>
      <c r="Q30" s="39"/>
      <c r="R30" s="39"/>
      <c r="S30" s="39"/>
      <c r="X30" t="str">
        <f t="shared" si="8"/>
        <v/>
      </c>
    </row>
    <row r="31" spans="1:24" x14ac:dyDescent="0.2">
      <c r="A31" s="39"/>
      <c r="B31" s="39"/>
      <c r="C31" s="39"/>
      <c r="D31" s="39"/>
      <c r="E31" s="39"/>
      <c r="F31" s="39"/>
      <c r="G31" s="39"/>
      <c r="H31" s="39" t="str">
        <f t="shared" si="0"/>
        <v/>
      </c>
      <c r="I31" s="39" t="str">
        <f t="shared" si="1"/>
        <v/>
      </c>
      <c r="J31" s="39" t="str">
        <f t="shared" si="2"/>
        <v/>
      </c>
      <c r="K31" s="39"/>
      <c r="L31" s="39" t="str">
        <f t="shared" si="3"/>
        <v/>
      </c>
      <c r="M31" s="39" t="str">
        <f t="shared" si="4"/>
        <v/>
      </c>
      <c r="N31" s="39" t="str">
        <f t="shared" si="5"/>
        <v/>
      </c>
      <c r="O31" s="39" t="str">
        <f t="shared" si="6"/>
        <v/>
      </c>
      <c r="P31" s="39" t="str">
        <f t="shared" si="7"/>
        <v/>
      </c>
      <c r="Q31" s="39"/>
      <c r="R31" s="39"/>
      <c r="S31" s="39"/>
      <c r="X31" t="str">
        <f t="shared" si="8"/>
        <v/>
      </c>
    </row>
    <row r="32" spans="1:24" x14ac:dyDescent="0.2">
      <c r="A32" s="39"/>
      <c r="B32" s="39"/>
      <c r="C32" s="39"/>
      <c r="D32" s="39"/>
      <c r="E32" s="39"/>
      <c r="F32" s="39"/>
      <c r="G32" s="39"/>
      <c r="H32" s="39" t="str">
        <f t="shared" si="0"/>
        <v/>
      </c>
      <c r="I32" s="39" t="str">
        <f t="shared" si="1"/>
        <v/>
      </c>
      <c r="J32" s="39" t="str">
        <f t="shared" si="2"/>
        <v/>
      </c>
      <c r="K32" s="39"/>
      <c r="L32" s="39" t="str">
        <f t="shared" si="3"/>
        <v/>
      </c>
      <c r="M32" s="39" t="str">
        <f t="shared" si="4"/>
        <v/>
      </c>
      <c r="N32" s="39" t="str">
        <f t="shared" si="5"/>
        <v/>
      </c>
      <c r="O32" s="39" t="str">
        <f t="shared" si="6"/>
        <v/>
      </c>
      <c r="P32" s="39" t="str">
        <f t="shared" si="7"/>
        <v/>
      </c>
      <c r="Q32" s="39"/>
      <c r="R32" s="39"/>
      <c r="S32" s="39"/>
      <c r="X32" t="str">
        <f t="shared" si="8"/>
        <v/>
      </c>
    </row>
    <row r="33" spans="1:24" x14ac:dyDescent="0.2">
      <c r="A33" s="39"/>
      <c r="B33" s="39"/>
      <c r="C33" s="39"/>
      <c r="D33" s="39"/>
      <c r="E33" s="39"/>
      <c r="F33" s="39"/>
      <c r="G33" s="39"/>
      <c r="H33" s="39" t="str">
        <f t="shared" si="0"/>
        <v/>
      </c>
      <c r="I33" s="39" t="str">
        <f t="shared" si="1"/>
        <v/>
      </c>
      <c r="J33" s="39" t="str">
        <f t="shared" si="2"/>
        <v/>
      </c>
      <c r="K33" s="39"/>
      <c r="L33" s="39" t="str">
        <f t="shared" si="3"/>
        <v/>
      </c>
      <c r="M33" s="39" t="str">
        <f t="shared" si="4"/>
        <v/>
      </c>
      <c r="N33" s="39" t="str">
        <f t="shared" si="5"/>
        <v/>
      </c>
      <c r="O33" s="39" t="str">
        <f t="shared" si="6"/>
        <v/>
      </c>
      <c r="P33" s="39" t="str">
        <f t="shared" si="7"/>
        <v/>
      </c>
      <c r="Q33" s="39"/>
      <c r="R33" s="39"/>
      <c r="S33" s="39"/>
      <c r="X33" t="str">
        <f t="shared" si="8"/>
        <v/>
      </c>
    </row>
    <row r="34" spans="1:24" x14ac:dyDescent="0.2">
      <c r="A34" s="39"/>
      <c r="B34" s="39"/>
      <c r="C34" s="39"/>
      <c r="D34" s="39"/>
      <c r="E34" s="39"/>
      <c r="F34" s="39"/>
      <c r="G34" s="39"/>
      <c r="H34" s="39" t="str">
        <f t="shared" si="0"/>
        <v/>
      </c>
      <c r="I34" s="39" t="str">
        <f t="shared" si="1"/>
        <v/>
      </c>
      <c r="J34" s="39" t="str">
        <f t="shared" si="2"/>
        <v/>
      </c>
      <c r="K34" s="39"/>
      <c r="L34" s="39" t="str">
        <f t="shared" si="3"/>
        <v/>
      </c>
      <c r="M34" s="39" t="str">
        <f t="shared" si="4"/>
        <v/>
      </c>
      <c r="N34" s="39" t="str">
        <f t="shared" si="5"/>
        <v/>
      </c>
      <c r="O34" s="39" t="str">
        <f t="shared" si="6"/>
        <v/>
      </c>
      <c r="P34" s="39" t="str">
        <f t="shared" si="7"/>
        <v/>
      </c>
      <c r="Q34" s="39"/>
      <c r="R34" s="39"/>
      <c r="S34" s="39"/>
      <c r="X34" t="str">
        <f t="shared" si="8"/>
        <v/>
      </c>
    </row>
    <row r="35" spans="1:24" x14ac:dyDescent="0.2">
      <c r="A35" s="39"/>
      <c r="B35" s="39"/>
      <c r="C35" s="39"/>
      <c r="D35" s="39"/>
      <c r="E35" s="39"/>
      <c r="F35" s="39"/>
      <c r="G35" s="39"/>
      <c r="H35" s="39" t="str">
        <f t="shared" si="0"/>
        <v/>
      </c>
      <c r="I35" s="39" t="str">
        <f t="shared" si="1"/>
        <v/>
      </c>
      <c r="J35" s="39" t="str">
        <f t="shared" si="2"/>
        <v/>
      </c>
      <c r="K35" s="39"/>
      <c r="L35" s="39" t="str">
        <f t="shared" si="3"/>
        <v/>
      </c>
      <c r="M35" s="39" t="str">
        <f t="shared" si="4"/>
        <v/>
      </c>
      <c r="N35" s="39" t="str">
        <f t="shared" si="5"/>
        <v/>
      </c>
      <c r="O35" s="39" t="str">
        <f t="shared" si="6"/>
        <v/>
      </c>
      <c r="P35" s="39" t="str">
        <f t="shared" si="7"/>
        <v/>
      </c>
      <c r="Q35" s="39"/>
      <c r="R35" s="39"/>
      <c r="S35" s="39"/>
      <c r="X35" t="str">
        <f t="shared" si="8"/>
        <v/>
      </c>
    </row>
    <row r="36" spans="1:24" x14ac:dyDescent="0.2">
      <c r="A36" s="39"/>
      <c r="B36" s="39"/>
      <c r="C36" s="39"/>
      <c r="D36" s="39"/>
      <c r="E36" s="39"/>
      <c r="F36" s="39"/>
      <c r="G36" s="39"/>
      <c r="H36" s="39" t="str">
        <f t="shared" si="0"/>
        <v/>
      </c>
      <c r="I36" s="39" t="str">
        <f t="shared" si="1"/>
        <v/>
      </c>
      <c r="J36" s="39" t="str">
        <f t="shared" si="2"/>
        <v/>
      </c>
      <c r="K36" s="39"/>
      <c r="L36" s="39" t="str">
        <f t="shared" si="3"/>
        <v/>
      </c>
      <c r="M36" s="39" t="str">
        <f t="shared" si="4"/>
        <v/>
      </c>
      <c r="N36" s="39" t="str">
        <f t="shared" si="5"/>
        <v/>
      </c>
      <c r="O36" s="39" t="str">
        <f t="shared" si="6"/>
        <v/>
      </c>
      <c r="P36" s="39" t="str">
        <f t="shared" si="7"/>
        <v/>
      </c>
      <c r="Q36" s="39"/>
      <c r="R36" s="39"/>
      <c r="S36" s="39"/>
      <c r="X36" t="str">
        <f t="shared" si="8"/>
        <v/>
      </c>
    </row>
    <row r="37" spans="1:24" x14ac:dyDescent="0.2">
      <c r="A37" s="39"/>
      <c r="B37" s="39"/>
      <c r="C37" s="39"/>
      <c r="D37" s="39"/>
      <c r="E37" s="39"/>
      <c r="F37" s="39"/>
      <c r="G37" s="39"/>
      <c r="H37" s="39" t="str">
        <f t="shared" si="0"/>
        <v/>
      </c>
      <c r="I37" s="39" t="str">
        <f t="shared" si="1"/>
        <v/>
      </c>
      <c r="J37" s="39" t="str">
        <f t="shared" si="2"/>
        <v/>
      </c>
      <c r="K37" s="39"/>
      <c r="L37" s="39" t="str">
        <f t="shared" si="3"/>
        <v/>
      </c>
      <c r="M37" s="39" t="str">
        <f t="shared" si="4"/>
        <v/>
      </c>
      <c r="N37" s="39" t="str">
        <f t="shared" si="5"/>
        <v/>
      </c>
      <c r="O37" s="39" t="str">
        <f t="shared" si="6"/>
        <v/>
      </c>
      <c r="P37" s="39" t="str">
        <f t="shared" si="7"/>
        <v/>
      </c>
      <c r="Q37" s="39"/>
      <c r="R37" s="39"/>
      <c r="S37" s="39"/>
      <c r="X37" t="str">
        <f t="shared" si="8"/>
        <v/>
      </c>
    </row>
    <row r="38" spans="1:24" x14ac:dyDescent="0.2">
      <c r="A38" s="39"/>
      <c r="B38" s="39"/>
      <c r="C38" s="39"/>
      <c r="D38" s="39"/>
      <c r="E38" s="39"/>
      <c r="F38" s="39"/>
      <c r="G38" s="39"/>
      <c r="H38" s="39" t="str">
        <f t="shared" si="0"/>
        <v/>
      </c>
      <c r="I38" s="39" t="str">
        <f t="shared" si="1"/>
        <v/>
      </c>
      <c r="J38" s="39" t="str">
        <f t="shared" si="2"/>
        <v/>
      </c>
      <c r="K38" s="39"/>
      <c r="L38" s="39" t="str">
        <f t="shared" si="3"/>
        <v/>
      </c>
      <c r="M38" s="39" t="str">
        <f t="shared" si="4"/>
        <v/>
      </c>
      <c r="N38" s="39" t="str">
        <f t="shared" si="5"/>
        <v/>
      </c>
      <c r="O38" s="39" t="str">
        <f t="shared" si="6"/>
        <v/>
      </c>
      <c r="P38" s="39" t="str">
        <f t="shared" si="7"/>
        <v/>
      </c>
      <c r="Q38" s="39"/>
      <c r="R38" s="39"/>
      <c r="S38" s="39"/>
      <c r="X38" t="str">
        <f t="shared" si="8"/>
        <v/>
      </c>
    </row>
    <row r="39" spans="1:24" x14ac:dyDescent="0.2">
      <c r="A39" s="39"/>
      <c r="B39" s="39"/>
      <c r="C39" s="39"/>
      <c r="D39" s="39"/>
      <c r="E39" s="39"/>
      <c r="F39" s="39"/>
      <c r="G39" s="39"/>
      <c r="H39" s="39" t="str">
        <f t="shared" si="0"/>
        <v/>
      </c>
      <c r="I39" s="39" t="str">
        <f t="shared" si="1"/>
        <v/>
      </c>
      <c r="J39" s="39" t="str">
        <f t="shared" si="2"/>
        <v/>
      </c>
      <c r="K39" s="39"/>
      <c r="L39" s="39" t="str">
        <f t="shared" si="3"/>
        <v/>
      </c>
      <c r="M39" s="39" t="str">
        <f t="shared" si="4"/>
        <v/>
      </c>
      <c r="N39" s="39" t="str">
        <f t="shared" si="5"/>
        <v/>
      </c>
      <c r="O39" s="39" t="str">
        <f t="shared" si="6"/>
        <v/>
      </c>
      <c r="P39" s="39" t="str">
        <f t="shared" si="7"/>
        <v/>
      </c>
      <c r="Q39" s="39"/>
      <c r="R39" s="39"/>
      <c r="S39" s="39"/>
      <c r="X39" t="str">
        <f t="shared" si="8"/>
        <v/>
      </c>
    </row>
    <row r="40" spans="1:24" x14ac:dyDescent="0.2">
      <c r="A40" s="39"/>
      <c r="B40" s="39"/>
      <c r="C40" s="39"/>
      <c r="D40" s="39"/>
      <c r="E40" s="39"/>
      <c r="F40" s="39"/>
      <c r="G40" s="39"/>
      <c r="H40" s="39" t="str">
        <f t="shared" si="0"/>
        <v/>
      </c>
      <c r="I40" s="39" t="str">
        <f t="shared" si="1"/>
        <v/>
      </c>
      <c r="J40" s="39" t="str">
        <f t="shared" si="2"/>
        <v/>
      </c>
      <c r="K40" s="39"/>
      <c r="L40" s="39" t="str">
        <f t="shared" si="3"/>
        <v/>
      </c>
      <c r="M40" s="39" t="str">
        <f t="shared" si="4"/>
        <v/>
      </c>
      <c r="N40" s="39" t="str">
        <f t="shared" si="5"/>
        <v/>
      </c>
      <c r="O40" s="39" t="str">
        <f t="shared" si="6"/>
        <v/>
      </c>
      <c r="P40" s="39" t="str">
        <f t="shared" si="7"/>
        <v/>
      </c>
      <c r="Q40" s="39"/>
      <c r="R40" s="39"/>
      <c r="S40" s="39"/>
      <c r="X40" t="str">
        <f t="shared" si="8"/>
        <v/>
      </c>
    </row>
    <row r="41" spans="1:24" x14ac:dyDescent="0.2">
      <c r="A41" s="39"/>
      <c r="B41" s="39"/>
      <c r="C41" s="39"/>
      <c r="D41" s="39"/>
      <c r="E41" s="39"/>
      <c r="F41" s="39"/>
      <c r="G41" s="39"/>
      <c r="H41" s="39" t="str">
        <f t="shared" si="0"/>
        <v/>
      </c>
      <c r="I41" s="39" t="str">
        <f t="shared" si="1"/>
        <v/>
      </c>
      <c r="J41" s="39" t="str">
        <f t="shared" si="2"/>
        <v/>
      </c>
      <c r="K41" s="39"/>
      <c r="L41" s="39" t="str">
        <f t="shared" si="3"/>
        <v/>
      </c>
      <c r="M41" s="39" t="str">
        <f t="shared" si="4"/>
        <v/>
      </c>
      <c r="N41" s="39" t="str">
        <f t="shared" si="5"/>
        <v/>
      </c>
      <c r="O41" s="39" t="str">
        <f t="shared" si="6"/>
        <v/>
      </c>
      <c r="P41" s="39" t="str">
        <f t="shared" si="7"/>
        <v/>
      </c>
      <c r="Q41" s="39"/>
      <c r="R41" s="39"/>
      <c r="S41" s="39"/>
      <c r="X41" t="str">
        <f t="shared" si="8"/>
        <v/>
      </c>
    </row>
    <row r="42" spans="1:24" x14ac:dyDescent="0.2">
      <c r="A42" s="39"/>
      <c r="B42" s="39"/>
      <c r="C42" s="39"/>
      <c r="D42" s="39"/>
      <c r="E42" s="39"/>
      <c r="F42" s="39"/>
      <c r="G42" s="39"/>
      <c r="H42" s="39" t="str">
        <f t="shared" si="0"/>
        <v/>
      </c>
      <c r="I42" s="39" t="str">
        <f t="shared" si="1"/>
        <v/>
      </c>
      <c r="J42" s="39" t="str">
        <f t="shared" si="2"/>
        <v/>
      </c>
      <c r="K42" s="39"/>
      <c r="L42" s="39" t="str">
        <f t="shared" si="3"/>
        <v/>
      </c>
      <c r="M42" s="39" t="str">
        <f t="shared" si="4"/>
        <v/>
      </c>
      <c r="N42" s="39" t="str">
        <f t="shared" si="5"/>
        <v/>
      </c>
      <c r="O42" s="39" t="str">
        <f t="shared" si="6"/>
        <v/>
      </c>
      <c r="P42" s="39" t="str">
        <f t="shared" si="7"/>
        <v/>
      </c>
      <c r="Q42" s="39"/>
      <c r="R42" s="39"/>
      <c r="S42" s="39"/>
      <c r="X42" t="str">
        <f t="shared" si="8"/>
        <v/>
      </c>
    </row>
    <row r="43" spans="1:24" x14ac:dyDescent="0.2">
      <c r="A43" s="39"/>
      <c r="B43" s="39"/>
      <c r="C43" s="39"/>
      <c r="D43" s="39"/>
      <c r="E43" s="39"/>
      <c r="F43" s="39"/>
      <c r="G43" s="39"/>
      <c r="H43" s="39" t="str">
        <f t="shared" si="0"/>
        <v/>
      </c>
      <c r="I43" s="39" t="str">
        <f t="shared" si="1"/>
        <v/>
      </c>
      <c r="J43" s="39" t="str">
        <f t="shared" si="2"/>
        <v/>
      </c>
      <c r="K43" s="39"/>
      <c r="L43" s="39" t="str">
        <f t="shared" si="3"/>
        <v/>
      </c>
      <c r="M43" s="39" t="str">
        <f t="shared" si="4"/>
        <v/>
      </c>
      <c r="N43" s="39" t="str">
        <f t="shared" si="5"/>
        <v/>
      </c>
      <c r="O43" s="39" t="str">
        <f t="shared" si="6"/>
        <v/>
      </c>
      <c r="P43" s="39" t="str">
        <f t="shared" si="7"/>
        <v/>
      </c>
      <c r="Q43" s="39"/>
      <c r="R43" s="39"/>
      <c r="S43" s="39"/>
      <c r="X43" t="str">
        <f t="shared" si="8"/>
        <v/>
      </c>
    </row>
    <row r="44" spans="1:24" x14ac:dyDescent="0.2">
      <c r="A44" s="39"/>
      <c r="B44" s="39"/>
      <c r="C44" s="39"/>
      <c r="D44" s="39"/>
      <c r="E44" s="39"/>
      <c r="F44" s="39"/>
      <c r="G44" s="39"/>
      <c r="H44" s="39" t="str">
        <f t="shared" si="0"/>
        <v/>
      </c>
      <c r="I44" s="39" t="str">
        <f t="shared" si="1"/>
        <v/>
      </c>
      <c r="J44" s="39" t="str">
        <f t="shared" si="2"/>
        <v/>
      </c>
      <c r="K44" s="39"/>
      <c r="L44" s="39" t="str">
        <f t="shared" si="3"/>
        <v/>
      </c>
      <c r="M44" s="39" t="str">
        <f t="shared" si="4"/>
        <v/>
      </c>
      <c r="N44" s="39" t="str">
        <f t="shared" si="5"/>
        <v/>
      </c>
      <c r="O44" s="39" t="str">
        <f t="shared" si="6"/>
        <v/>
      </c>
      <c r="P44" s="39" t="str">
        <f t="shared" si="7"/>
        <v/>
      </c>
      <c r="Q44" s="39"/>
      <c r="R44" s="39"/>
      <c r="S44" s="39"/>
      <c r="X44" t="str">
        <f t="shared" si="8"/>
        <v/>
      </c>
    </row>
    <row r="45" spans="1:24" x14ac:dyDescent="0.2">
      <c r="A45" s="39"/>
      <c r="B45" s="39"/>
      <c r="C45" s="39"/>
      <c r="D45" s="39"/>
      <c r="E45" s="39"/>
      <c r="F45" s="39"/>
      <c r="G45" s="39"/>
      <c r="H45" s="39" t="str">
        <f t="shared" si="0"/>
        <v/>
      </c>
      <c r="I45" s="39" t="str">
        <f t="shared" si="1"/>
        <v/>
      </c>
      <c r="J45" s="39" t="str">
        <f t="shared" si="2"/>
        <v/>
      </c>
      <c r="K45" s="39"/>
      <c r="L45" s="39" t="str">
        <f t="shared" si="3"/>
        <v/>
      </c>
      <c r="M45" s="39" t="str">
        <f t="shared" si="4"/>
        <v/>
      </c>
      <c r="N45" s="39" t="str">
        <f t="shared" si="5"/>
        <v/>
      </c>
      <c r="O45" s="39" t="str">
        <f t="shared" si="6"/>
        <v/>
      </c>
      <c r="P45" s="39" t="str">
        <f t="shared" si="7"/>
        <v/>
      </c>
      <c r="Q45" s="39"/>
      <c r="R45" s="39"/>
      <c r="S45" s="39"/>
      <c r="X45" t="str">
        <f t="shared" si="8"/>
        <v/>
      </c>
    </row>
    <row r="46" spans="1:24" x14ac:dyDescent="0.2">
      <c r="A46" s="39"/>
      <c r="B46" s="39"/>
      <c r="C46" s="39"/>
      <c r="D46" s="39"/>
      <c r="E46" s="39"/>
      <c r="F46" s="39"/>
      <c r="G46" s="39"/>
      <c r="H46" s="39" t="str">
        <f t="shared" si="0"/>
        <v/>
      </c>
      <c r="I46" s="39" t="str">
        <f t="shared" si="1"/>
        <v/>
      </c>
      <c r="J46" s="39" t="str">
        <f t="shared" si="2"/>
        <v/>
      </c>
      <c r="K46" s="39"/>
      <c r="L46" s="39" t="str">
        <f t="shared" si="3"/>
        <v/>
      </c>
      <c r="M46" s="39" t="str">
        <f t="shared" si="4"/>
        <v/>
      </c>
      <c r="N46" s="39" t="str">
        <f t="shared" si="5"/>
        <v/>
      </c>
      <c r="O46" s="39" t="str">
        <f t="shared" si="6"/>
        <v/>
      </c>
      <c r="P46" s="39" t="str">
        <f t="shared" si="7"/>
        <v/>
      </c>
      <c r="Q46" s="39"/>
      <c r="R46" s="39"/>
      <c r="S46" s="39"/>
      <c r="X46" t="str">
        <f t="shared" si="8"/>
        <v/>
      </c>
    </row>
    <row r="47" spans="1:24" x14ac:dyDescent="0.2">
      <c r="A47" s="39"/>
      <c r="B47" s="39"/>
      <c r="C47" s="39"/>
      <c r="D47" s="39"/>
      <c r="E47" s="39"/>
      <c r="F47" s="39"/>
      <c r="G47" s="39"/>
      <c r="H47" s="39" t="str">
        <f t="shared" si="0"/>
        <v/>
      </c>
      <c r="I47" s="39" t="str">
        <f t="shared" si="1"/>
        <v/>
      </c>
      <c r="J47" s="39" t="str">
        <f t="shared" si="2"/>
        <v/>
      </c>
      <c r="K47" s="39"/>
      <c r="L47" s="39" t="str">
        <f t="shared" si="3"/>
        <v/>
      </c>
      <c r="M47" s="39" t="str">
        <f t="shared" si="4"/>
        <v/>
      </c>
      <c r="N47" s="39" t="str">
        <f t="shared" si="5"/>
        <v/>
      </c>
      <c r="O47" s="39" t="str">
        <f t="shared" si="6"/>
        <v/>
      </c>
      <c r="P47" s="39" t="str">
        <f t="shared" si="7"/>
        <v/>
      </c>
      <c r="Q47" s="39"/>
      <c r="R47" s="39"/>
      <c r="S47" s="39"/>
      <c r="X47" t="str">
        <f t="shared" si="8"/>
        <v/>
      </c>
    </row>
    <row r="48" spans="1:24" x14ac:dyDescent="0.2">
      <c r="A48" s="39"/>
      <c r="B48" s="39"/>
      <c r="C48" s="39"/>
      <c r="D48" s="39"/>
      <c r="E48" s="39"/>
      <c r="F48" s="39"/>
      <c r="G48" s="39"/>
      <c r="H48" s="39" t="str">
        <f t="shared" si="0"/>
        <v/>
      </c>
      <c r="I48" s="39" t="str">
        <f t="shared" si="1"/>
        <v/>
      </c>
      <c r="J48" s="39" t="str">
        <f t="shared" si="2"/>
        <v/>
      </c>
      <c r="K48" s="39"/>
      <c r="L48" s="39" t="str">
        <f t="shared" si="3"/>
        <v/>
      </c>
      <c r="M48" s="39" t="str">
        <f t="shared" si="4"/>
        <v/>
      </c>
      <c r="N48" s="39" t="str">
        <f t="shared" si="5"/>
        <v/>
      </c>
      <c r="O48" s="39" t="str">
        <f t="shared" si="6"/>
        <v/>
      </c>
      <c r="P48" s="39" t="str">
        <f t="shared" si="7"/>
        <v/>
      </c>
      <c r="Q48" s="39"/>
      <c r="R48" s="39"/>
      <c r="S48" s="39"/>
      <c r="X48" t="str">
        <f t="shared" si="8"/>
        <v/>
      </c>
    </row>
    <row r="49" spans="1:24" x14ac:dyDescent="0.2">
      <c r="A49" s="39"/>
      <c r="B49" s="39"/>
      <c r="C49" s="39"/>
      <c r="D49" s="39"/>
      <c r="E49" s="39"/>
      <c r="F49" s="39"/>
      <c r="G49" s="39"/>
      <c r="H49" s="39" t="str">
        <f t="shared" si="0"/>
        <v/>
      </c>
      <c r="I49" s="39" t="str">
        <f t="shared" si="1"/>
        <v/>
      </c>
      <c r="J49" s="39" t="str">
        <f t="shared" si="2"/>
        <v/>
      </c>
      <c r="K49" s="39"/>
      <c r="L49" s="39" t="str">
        <f t="shared" si="3"/>
        <v/>
      </c>
      <c r="M49" s="39" t="str">
        <f t="shared" si="4"/>
        <v/>
      </c>
      <c r="N49" s="39" t="str">
        <f t="shared" si="5"/>
        <v/>
      </c>
      <c r="O49" s="39" t="str">
        <f t="shared" si="6"/>
        <v/>
      </c>
      <c r="P49" s="39" t="str">
        <f t="shared" si="7"/>
        <v/>
      </c>
      <c r="Q49" s="39"/>
      <c r="R49" s="39"/>
      <c r="S49" s="39"/>
      <c r="X49" t="str">
        <f t="shared" si="8"/>
        <v/>
      </c>
    </row>
    <row r="50" spans="1:24" x14ac:dyDescent="0.2">
      <c r="A50" s="39"/>
      <c r="B50" s="39"/>
      <c r="C50" s="39"/>
      <c r="D50" s="39"/>
      <c r="E50" s="39"/>
      <c r="F50" s="39"/>
      <c r="G50" s="39"/>
      <c r="H50" s="39" t="str">
        <f t="shared" si="0"/>
        <v/>
      </c>
      <c r="I50" s="39" t="str">
        <f t="shared" si="1"/>
        <v/>
      </c>
      <c r="J50" s="39" t="str">
        <f t="shared" si="2"/>
        <v/>
      </c>
      <c r="K50" s="39"/>
      <c r="L50" s="39" t="str">
        <f t="shared" si="3"/>
        <v/>
      </c>
      <c r="M50" s="39" t="str">
        <f t="shared" si="4"/>
        <v/>
      </c>
      <c r="N50" s="39" t="str">
        <f t="shared" si="5"/>
        <v/>
      </c>
      <c r="O50" s="39" t="str">
        <f t="shared" si="6"/>
        <v/>
      </c>
      <c r="P50" s="39" t="str">
        <f t="shared" si="7"/>
        <v/>
      </c>
      <c r="Q50" s="39"/>
      <c r="R50" s="39"/>
      <c r="S50" s="39"/>
      <c r="X50" t="str">
        <f t="shared" si="8"/>
        <v/>
      </c>
    </row>
    <row r="51" spans="1:24" x14ac:dyDescent="0.2">
      <c r="A51" s="39"/>
      <c r="B51" s="39"/>
      <c r="C51" s="39"/>
      <c r="D51" s="39"/>
      <c r="E51" s="39"/>
      <c r="F51" s="39"/>
      <c r="G51" s="39"/>
      <c r="H51" s="39" t="str">
        <f t="shared" si="0"/>
        <v/>
      </c>
      <c r="I51" s="39" t="str">
        <f t="shared" si="1"/>
        <v/>
      </c>
      <c r="J51" s="39" t="str">
        <f t="shared" si="2"/>
        <v/>
      </c>
      <c r="K51" s="39"/>
      <c r="L51" s="39" t="str">
        <f t="shared" si="3"/>
        <v/>
      </c>
      <c r="M51" s="39" t="str">
        <f t="shared" si="4"/>
        <v/>
      </c>
      <c r="N51" s="39" t="str">
        <f t="shared" si="5"/>
        <v/>
      </c>
      <c r="O51" s="39" t="str">
        <f t="shared" si="6"/>
        <v/>
      </c>
      <c r="P51" s="39" t="str">
        <f t="shared" si="7"/>
        <v/>
      </c>
      <c r="Q51" s="39"/>
      <c r="R51" s="39"/>
      <c r="S51" s="39"/>
      <c r="X51" t="str">
        <f t="shared" si="8"/>
        <v/>
      </c>
    </row>
    <row r="52" spans="1:24" x14ac:dyDescent="0.2">
      <c r="A52" s="39"/>
      <c r="B52" s="39"/>
      <c r="C52" s="39"/>
      <c r="D52" s="39"/>
      <c r="E52" s="39"/>
      <c r="F52" s="39"/>
      <c r="G52" s="39"/>
      <c r="H52" s="39" t="str">
        <f t="shared" si="0"/>
        <v/>
      </c>
      <c r="I52" s="39" t="str">
        <f t="shared" si="1"/>
        <v/>
      </c>
      <c r="J52" s="39" t="str">
        <f t="shared" si="2"/>
        <v/>
      </c>
      <c r="K52" s="39"/>
      <c r="L52" s="39" t="str">
        <f t="shared" si="3"/>
        <v/>
      </c>
      <c r="M52" s="39" t="str">
        <f t="shared" si="4"/>
        <v/>
      </c>
      <c r="N52" s="39" t="str">
        <f t="shared" si="5"/>
        <v/>
      </c>
      <c r="O52" s="39" t="str">
        <f t="shared" si="6"/>
        <v/>
      </c>
      <c r="P52" s="39" t="str">
        <f t="shared" si="7"/>
        <v/>
      </c>
      <c r="Q52" s="39"/>
      <c r="R52" s="39"/>
      <c r="S52" s="39"/>
      <c r="X52" t="str">
        <f t="shared" si="8"/>
        <v/>
      </c>
    </row>
    <row r="53" spans="1:24" x14ac:dyDescent="0.2">
      <c r="A53" s="39"/>
      <c r="B53" s="39"/>
      <c r="C53" s="39"/>
      <c r="D53" s="39"/>
      <c r="E53" s="39"/>
      <c r="F53" s="39"/>
      <c r="G53" s="39"/>
      <c r="H53" s="39" t="str">
        <f t="shared" si="0"/>
        <v/>
      </c>
      <c r="I53" s="39" t="str">
        <f t="shared" si="1"/>
        <v/>
      </c>
      <c r="J53" s="39" t="str">
        <f t="shared" si="2"/>
        <v/>
      </c>
      <c r="K53" s="39"/>
      <c r="L53" s="39" t="str">
        <f t="shared" si="3"/>
        <v/>
      </c>
      <c r="M53" s="39" t="str">
        <f t="shared" si="4"/>
        <v/>
      </c>
      <c r="N53" s="39" t="str">
        <f t="shared" si="5"/>
        <v/>
      </c>
      <c r="O53" s="39" t="str">
        <f t="shared" si="6"/>
        <v/>
      </c>
      <c r="P53" s="39" t="str">
        <f t="shared" si="7"/>
        <v/>
      </c>
      <c r="Q53" s="39"/>
      <c r="R53" s="39"/>
      <c r="S53" s="39"/>
      <c r="X53" t="str">
        <f t="shared" si="8"/>
        <v/>
      </c>
    </row>
    <row r="54" spans="1:24" x14ac:dyDescent="0.2">
      <c r="A54" s="39"/>
      <c r="B54" s="39"/>
      <c r="C54" s="39"/>
      <c r="D54" s="39"/>
      <c r="E54" s="39"/>
      <c r="F54" s="39"/>
      <c r="G54" s="39"/>
      <c r="H54" s="39" t="str">
        <f t="shared" si="0"/>
        <v/>
      </c>
      <c r="I54" s="39" t="str">
        <f t="shared" si="1"/>
        <v/>
      </c>
      <c r="J54" s="39" t="str">
        <f t="shared" si="2"/>
        <v/>
      </c>
      <c r="K54" s="39"/>
      <c r="L54" s="39" t="str">
        <f t="shared" si="3"/>
        <v/>
      </c>
      <c r="M54" s="39" t="str">
        <f t="shared" si="4"/>
        <v/>
      </c>
      <c r="N54" s="39" t="str">
        <f t="shared" si="5"/>
        <v/>
      </c>
      <c r="O54" s="39" t="str">
        <f t="shared" si="6"/>
        <v/>
      </c>
      <c r="P54" s="39" t="str">
        <f t="shared" si="7"/>
        <v/>
      </c>
      <c r="Q54" s="39"/>
      <c r="R54" s="39"/>
      <c r="S54" s="39"/>
      <c r="X54" t="str">
        <f t="shared" si="8"/>
        <v/>
      </c>
    </row>
    <row r="55" spans="1:24" x14ac:dyDescent="0.2">
      <c r="A55" s="39"/>
      <c r="B55" s="39"/>
      <c r="C55" s="39"/>
      <c r="D55" s="39"/>
      <c r="E55" s="39"/>
      <c r="F55" s="39"/>
      <c r="G55" s="39"/>
      <c r="H55" s="39" t="str">
        <f t="shared" si="0"/>
        <v/>
      </c>
      <c r="I55" s="39" t="str">
        <f t="shared" si="1"/>
        <v/>
      </c>
      <c r="J55" s="39" t="str">
        <f t="shared" si="2"/>
        <v/>
      </c>
      <c r="K55" s="39"/>
      <c r="L55" s="39" t="str">
        <f t="shared" si="3"/>
        <v/>
      </c>
      <c r="M55" s="39" t="str">
        <f t="shared" si="4"/>
        <v/>
      </c>
      <c r="N55" s="39" t="str">
        <f t="shared" si="5"/>
        <v/>
      </c>
      <c r="O55" s="39" t="str">
        <f t="shared" si="6"/>
        <v/>
      </c>
      <c r="P55" s="39" t="str">
        <f t="shared" si="7"/>
        <v/>
      </c>
      <c r="Q55" s="39"/>
      <c r="R55" s="39"/>
      <c r="S55" s="39"/>
      <c r="X55" t="str">
        <f t="shared" si="8"/>
        <v/>
      </c>
    </row>
    <row r="56" spans="1:24" x14ac:dyDescent="0.2">
      <c r="A56" s="39"/>
      <c r="B56" s="39"/>
      <c r="C56" s="39"/>
      <c r="D56" s="39"/>
      <c r="E56" s="39"/>
      <c r="F56" s="39"/>
      <c r="G56" s="39"/>
      <c r="H56" s="39" t="str">
        <f t="shared" si="0"/>
        <v/>
      </c>
      <c r="I56" s="39" t="str">
        <f t="shared" si="1"/>
        <v/>
      </c>
      <c r="J56" s="39" t="str">
        <f t="shared" si="2"/>
        <v/>
      </c>
      <c r="K56" s="39"/>
      <c r="L56" s="39" t="str">
        <f t="shared" si="3"/>
        <v/>
      </c>
      <c r="M56" s="39" t="str">
        <f t="shared" si="4"/>
        <v/>
      </c>
      <c r="N56" s="39" t="str">
        <f t="shared" si="5"/>
        <v/>
      </c>
      <c r="O56" s="39" t="str">
        <f t="shared" si="6"/>
        <v/>
      </c>
      <c r="P56" s="39" t="str">
        <f t="shared" si="7"/>
        <v/>
      </c>
      <c r="Q56" s="39"/>
      <c r="R56" s="39"/>
      <c r="S56" s="39"/>
      <c r="X56" t="str">
        <f t="shared" si="8"/>
        <v/>
      </c>
    </row>
    <row r="57" spans="1:24" x14ac:dyDescent="0.2">
      <c r="A57" s="39"/>
      <c r="B57" s="39"/>
      <c r="C57" s="39"/>
      <c r="D57" s="39"/>
      <c r="E57" s="39"/>
      <c r="F57" s="39"/>
      <c r="G57" s="39"/>
      <c r="H57" s="39" t="str">
        <f t="shared" si="0"/>
        <v/>
      </c>
      <c r="I57" s="39" t="str">
        <f t="shared" si="1"/>
        <v/>
      </c>
      <c r="J57" s="39" t="str">
        <f t="shared" si="2"/>
        <v/>
      </c>
      <c r="K57" s="39"/>
      <c r="L57" s="39" t="str">
        <f t="shared" si="3"/>
        <v/>
      </c>
      <c r="M57" s="39" t="str">
        <f t="shared" si="4"/>
        <v/>
      </c>
      <c r="N57" s="39" t="str">
        <f t="shared" si="5"/>
        <v/>
      </c>
      <c r="O57" s="39" t="str">
        <f t="shared" si="6"/>
        <v/>
      </c>
      <c r="P57" s="39" t="str">
        <f t="shared" si="7"/>
        <v/>
      </c>
      <c r="Q57" s="39"/>
      <c r="R57" s="39"/>
      <c r="S57" s="39"/>
      <c r="X57" t="str">
        <f t="shared" si="8"/>
        <v/>
      </c>
    </row>
    <row r="58" spans="1:24" x14ac:dyDescent="0.2">
      <c r="A58" s="39"/>
      <c r="B58" s="39"/>
      <c r="C58" s="39"/>
      <c r="D58" s="39"/>
      <c r="E58" s="39"/>
      <c r="F58" s="39"/>
      <c r="G58" s="39"/>
      <c r="H58" s="39" t="str">
        <f t="shared" si="0"/>
        <v/>
      </c>
      <c r="I58" s="39" t="str">
        <f t="shared" si="1"/>
        <v/>
      </c>
      <c r="J58" s="39" t="str">
        <f t="shared" si="2"/>
        <v/>
      </c>
      <c r="K58" s="39"/>
      <c r="L58" s="39" t="str">
        <f t="shared" si="3"/>
        <v/>
      </c>
      <c r="M58" s="39" t="str">
        <f t="shared" si="4"/>
        <v/>
      </c>
      <c r="N58" s="39" t="str">
        <f t="shared" si="5"/>
        <v/>
      </c>
      <c r="O58" s="39" t="str">
        <f t="shared" si="6"/>
        <v/>
      </c>
      <c r="P58" s="39" t="str">
        <f t="shared" si="7"/>
        <v/>
      </c>
      <c r="Q58" s="39"/>
      <c r="R58" s="39"/>
      <c r="S58" s="39"/>
      <c r="X58" t="str">
        <f t="shared" si="8"/>
        <v/>
      </c>
    </row>
    <row r="59" spans="1:24" x14ac:dyDescent="0.2">
      <c r="A59" s="39"/>
      <c r="B59" s="39"/>
      <c r="C59" s="39"/>
      <c r="D59" s="39"/>
      <c r="E59" s="39"/>
      <c r="F59" s="39"/>
      <c r="G59" s="39"/>
      <c r="H59" s="39" t="str">
        <f t="shared" si="0"/>
        <v/>
      </c>
      <c r="I59" s="39" t="str">
        <f t="shared" si="1"/>
        <v/>
      </c>
      <c r="J59" s="39" t="str">
        <f t="shared" si="2"/>
        <v/>
      </c>
      <c r="K59" s="39"/>
      <c r="L59" s="39" t="str">
        <f t="shared" si="3"/>
        <v/>
      </c>
      <c r="M59" s="39" t="str">
        <f t="shared" si="4"/>
        <v/>
      </c>
      <c r="N59" s="39" t="str">
        <f t="shared" si="5"/>
        <v/>
      </c>
      <c r="O59" s="39" t="str">
        <f t="shared" si="6"/>
        <v/>
      </c>
      <c r="P59" s="39" t="str">
        <f t="shared" si="7"/>
        <v/>
      </c>
      <c r="Q59" s="39"/>
      <c r="R59" s="39"/>
      <c r="S59" s="39"/>
      <c r="X59" t="str">
        <f t="shared" si="8"/>
        <v/>
      </c>
    </row>
    <row r="60" spans="1:24" x14ac:dyDescent="0.2">
      <c r="A60" s="39"/>
      <c r="B60" s="39"/>
      <c r="C60" s="39"/>
      <c r="D60" s="39"/>
      <c r="E60" s="39"/>
      <c r="F60" s="39"/>
      <c r="G60" s="39"/>
      <c r="H60" s="39" t="str">
        <f t="shared" si="0"/>
        <v/>
      </c>
      <c r="I60" s="39" t="str">
        <f t="shared" si="1"/>
        <v/>
      </c>
      <c r="J60" s="39" t="str">
        <f t="shared" si="2"/>
        <v/>
      </c>
      <c r="K60" s="39"/>
      <c r="L60" s="39" t="str">
        <f t="shared" si="3"/>
        <v/>
      </c>
      <c r="M60" s="39" t="str">
        <f t="shared" si="4"/>
        <v/>
      </c>
      <c r="N60" s="39" t="str">
        <f t="shared" si="5"/>
        <v/>
      </c>
      <c r="O60" s="39" t="str">
        <f t="shared" si="6"/>
        <v/>
      </c>
      <c r="P60" s="39" t="str">
        <f t="shared" si="7"/>
        <v/>
      </c>
      <c r="Q60" s="39"/>
      <c r="R60" s="39"/>
      <c r="S60" s="39"/>
      <c r="X60" t="str">
        <f t="shared" si="8"/>
        <v/>
      </c>
    </row>
    <row r="61" spans="1:24" x14ac:dyDescent="0.2">
      <c r="A61" s="39"/>
      <c r="B61" s="39"/>
      <c r="C61" s="39"/>
      <c r="D61" s="39"/>
      <c r="E61" s="39"/>
      <c r="F61" s="39"/>
      <c r="G61" s="39"/>
      <c r="H61" s="39" t="str">
        <f t="shared" si="0"/>
        <v/>
      </c>
      <c r="I61" s="39" t="str">
        <f t="shared" si="1"/>
        <v/>
      </c>
      <c r="J61" s="39" t="str">
        <f t="shared" si="2"/>
        <v/>
      </c>
      <c r="K61" s="39"/>
      <c r="L61" s="39" t="str">
        <f t="shared" si="3"/>
        <v/>
      </c>
      <c r="M61" s="39" t="str">
        <f t="shared" si="4"/>
        <v/>
      </c>
      <c r="N61" s="39" t="str">
        <f t="shared" si="5"/>
        <v/>
      </c>
      <c r="O61" s="39" t="str">
        <f t="shared" si="6"/>
        <v/>
      </c>
      <c r="P61" s="39" t="str">
        <f t="shared" si="7"/>
        <v/>
      </c>
      <c r="Q61" s="39"/>
      <c r="R61" s="39"/>
      <c r="S61" s="39"/>
      <c r="X61" t="str">
        <f t="shared" si="8"/>
        <v/>
      </c>
    </row>
    <row r="62" spans="1:24" x14ac:dyDescent="0.2">
      <c r="A62" s="39"/>
      <c r="B62" s="39"/>
      <c r="C62" s="39"/>
      <c r="D62" s="39"/>
      <c r="E62" s="39"/>
      <c r="F62" s="39"/>
      <c r="G62" s="39"/>
      <c r="H62" s="39" t="str">
        <f t="shared" si="0"/>
        <v/>
      </c>
      <c r="I62" s="39" t="str">
        <f t="shared" si="1"/>
        <v/>
      </c>
      <c r="J62" s="39" t="str">
        <f t="shared" si="2"/>
        <v/>
      </c>
      <c r="K62" s="39"/>
      <c r="L62" s="39" t="str">
        <f t="shared" si="3"/>
        <v/>
      </c>
      <c r="M62" s="39" t="str">
        <f t="shared" si="4"/>
        <v/>
      </c>
      <c r="N62" s="39" t="str">
        <f t="shared" si="5"/>
        <v/>
      </c>
      <c r="O62" s="39" t="str">
        <f t="shared" si="6"/>
        <v/>
      </c>
      <c r="P62" s="39" t="str">
        <f t="shared" si="7"/>
        <v/>
      </c>
      <c r="Q62" s="39"/>
      <c r="R62" s="39"/>
      <c r="S62" s="39"/>
      <c r="X62" t="str">
        <f t="shared" si="8"/>
        <v/>
      </c>
    </row>
    <row r="63" spans="1:24" x14ac:dyDescent="0.2">
      <c r="A63" s="39"/>
      <c r="B63" s="39"/>
      <c r="C63" s="39"/>
      <c r="D63" s="39"/>
      <c r="E63" s="39"/>
      <c r="F63" s="39"/>
      <c r="G63" s="39"/>
      <c r="H63" s="39" t="str">
        <f t="shared" si="0"/>
        <v/>
      </c>
      <c r="I63" s="39" t="str">
        <f t="shared" si="1"/>
        <v/>
      </c>
      <c r="J63" s="39" t="str">
        <f t="shared" si="2"/>
        <v/>
      </c>
      <c r="K63" s="39"/>
      <c r="L63" s="39" t="str">
        <f t="shared" si="3"/>
        <v/>
      </c>
      <c r="M63" s="39" t="str">
        <f t="shared" si="4"/>
        <v/>
      </c>
      <c r="N63" s="39" t="str">
        <f t="shared" si="5"/>
        <v/>
      </c>
      <c r="O63" s="39" t="str">
        <f t="shared" si="6"/>
        <v/>
      </c>
      <c r="P63" s="39" t="str">
        <f t="shared" si="7"/>
        <v/>
      </c>
      <c r="Q63" s="39"/>
      <c r="R63" s="39"/>
      <c r="S63" s="39"/>
      <c r="X63" t="str">
        <f t="shared" si="8"/>
        <v/>
      </c>
    </row>
    <row r="64" spans="1:24" x14ac:dyDescent="0.2">
      <c r="A64" s="39"/>
      <c r="B64" s="39"/>
      <c r="C64" s="39"/>
      <c r="D64" s="39"/>
      <c r="E64" s="39"/>
      <c r="F64" s="39"/>
      <c r="G64" s="39"/>
      <c r="H64" s="39" t="str">
        <f t="shared" si="0"/>
        <v/>
      </c>
      <c r="I64" s="39" t="str">
        <f t="shared" si="1"/>
        <v/>
      </c>
      <c r="J64" s="39" t="str">
        <f t="shared" si="2"/>
        <v/>
      </c>
      <c r="K64" s="39"/>
      <c r="L64" s="39" t="str">
        <f t="shared" si="3"/>
        <v/>
      </c>
      <c r="M64" s="39" t="str">
        <f t="shared" si="4"/>
        <v/>
      </c>
      <c r="N64" s="39" t="str">
        <f t="shared" si="5"/>
        <v/>
      </c>
      <c r="O64" s="39" t="str">
        <f t="shared" si="6"/>
        <v/>
      </c>
      <c r="P64" s="39" t="str">
        <f t="shared" si="7"/>
        <v/>
      </c>
      <c r="Q64" s="39"/>
      <c r="R64" s="39"/>
      <c r="S64" s="39"/>
      <c r="X64" t="str">
        <f t="shared" si="8"/>
        <v/>
      </c>
    </row>
    <row r="65" spans="1:24" x14ac:dyDescent="0.2">
      <c r="A65" s="39"/>
      <c r="B65" s="39"/>
      <c r="C65" s="39"/>
      <c r="D65" s="39"/>
      <c r="E65" s="39"/>
      <c r="F65" s="39"/>
      <c r="G65" s="39"/>
      <c r="H65" s="39" t="str">
        <f t="shared" si="0"/>
        <v/>
      </c>
      <c r="I65" s="39" t="str">
        <f t="shared" si="1"/>
        <v/>
      </c>
      <c r="J65" s="39" t="str">
        <f t="shared" si="2"/>
        <v/>
      </c>
      <c r="K65" s="39"/>
      <c r="L65" s="39" t="str">
        <f t="shared" si="3"/>
        <v/>
      </c>
      <c r="M65" s="39" t="str">
        <f t="shared" si="4"/>
        <v/>
      </c>
      <c r="N65" s="39" t="str">
        <f t="shared" si="5"/>
        <v/>
      </c>
      <c r="O65" s="39" t="str">
        <f t="shared" si="6"/>
        <v/>
      </c>
      <c r="P65" s="39" t="str">
        <f t="shared" si="7"/>
        <v/>
      </c>
      <c r="Q65" s="39"/>
      <c r="R65" s="39"/>
      <c r="S65" s="39"/>
      <c r="X65" t="str">
        <f t="shared" si="8"/>
        <v/>
      </c>
    </row>
    <row r="66" spans="1:24" x14ac:dyDescent="0.2">
      <c r="A66" s="39"/>
      <c r="B66" s="39"/>
      <c r="C66" s="39"/>
      <c r="D66" s="39"/>
      <c r="E66" s="39"/>
      <c r="F66" s="39"/>
      <c r="G66" s="39"/>
      <c r="H66" s="39" t="str">
        <f t="shared" si="0"/>
        <v/>
      </c>
      <c r="I66" s="39" t="str">
        <f t="shared" si="1"/>
        <v/>
      </c>
      <c r="J66" s="39" t="str">
        <f t="shared" si="2"/>
        <v/>
      </c>
      <c r="K66" s="39"/>
      <c r="L66" s="39" t="str">
        <f t="shared" si="3"/>
        <v/>
      </c>
      <c r="M66" s="39" t="str">
        <f t="shared" si="4"/>
        <v/>
      </c>
      <c r="N66" s="39" t="str">
        <f t="shared" si="5"/>
        <v/>
      </c>
      <c r="O66" s="39" t="str">
        <f t="shared" si="6"/>
        <v/>
      </c>
      <c r="P66" s="39" t="str">
        <f t="shared" si="7"/>
        <v/>
      </c>
      <c r="Q66" s="39"/>
      <c r="R66" s="39"/>
      <c r="S66" s="39"/>
      <c r="X66" t="str">
        <f t="shared" si="8"/>
        <v/>
      </c>
    </row>
    <row r="67" spans="1:24" x14ac:dyDescent="0.2">
      <c r="A67" s="39"/>
      <c r="B67" s="39"/>
      <c r="C67" s="39"/>
      <c r="D67" s="39"/>
      <c r="E67" s="39"/>
      <c r="F67" s="39"/>
      <c r="G67" s="39"/>
      <c r="H67" s="39" t="str">
        <f t="shared" si="0"/>
        <v/>
      </c>
      <c r="I67" s="39" t="str">
        <f t="shared" si="1"/>
        <v/>
      </c>
      <c r="J67" s="39" t="str">
        <f t="shared" si="2"/>
        <v/>
      </c>
      <c r="K67" s="39"/>
      <c r="L67" s="39" t="str">
        <f t="shared" si="3"/>
        <v/>
      </c>
      <c r="M67" s="39" t="str">
        <f t="shared" si="4"/>
        <v/>
      </c>
      <c r="N67" s="39" t="str">
        <f t="shared" si="5"/>
        <v/>
      </c>
      <c r="O67" s="39" t="str">
        <f t="shared" si="6"/>
        <v/>
      </c>
      <c r="P67" s="39" t="str">
        <f t="shared" si="7"/>
        <v/>
      </c>
      <c r="Q67" s="39"/>
      <c r="R67" s="39"/>
      <c r="S67" s="39"/>
      <c r="X67" t="str">
        <f t="shared" si="8"/>
        <v/>
      </c>
    </row>
    <row r="68" spans="1:24" x14ac:dyDescent="0.2">
      <c r="A68" s="39"/>
      <c r="B68" s="39"/>
      <c r="C68" s="39"/>
      <c r="D68" s="39"/>
      <c r="E68" s="39"/>
      <c r="F68" s="39"/>
      <c r="G68" s="39"/>
      <c r="H68" s="39" t="str">
        <f t="shared" si="0"/>
        <v/>
      </c>
      <c r="I68" s="39" t="str">
        <f t="shared" si="1"/>
        <v/>
      </c>
      <c r="J68" s="39" t="str">
        <f t="shared" si="2"/>
        <v/>
      </c>
      <c r="K68" s="39"/>
      <c r="L68" s="39" t="str">
        <f t="shared" si="3"/>
        <v/>
      </c>
      <c r="M68" s="39" t="str">
        <f t="shared" si="4"/>
        <v/>
      </c>
      <c r="N68" s="39" t="str">
        <f t="shared" si="5"/>
        <v/>
      </c>
      <c r="O68" s="39" t="str">
        <f t="shared" si="6"/>
        <v/>
      </c>
      <c r="P68" s="39" t="str">
        <f t="shared" si="7"/>
        <v/>
      </c>
      <c r="Q68" s="39"/>
      <c r="R68" s="39"/>
      <c r="S68" s="39"/>
      <c r="X68" t="str">
        <f t="shared" si="8"/>
        <v/>
      </c>
    </row>
    <row r="69" spans="1:24" x14ac:dyDescent="0.2">
      <c r="A69" s="39"/>
      <c r="B69" s="39"/>
      <c r="C69" s="39"/>
      <c r="D69" s="39"/>
      <c r="E69" s="39"/>
      <c r="F69" s="39"/>
      <c r="G69" s="39"/>
      <c r="H69" s="39" t="str">
        <f t="shared" ref="H69:H132" si="9">IF($B69="","",IF(E69="","N","Y"))</f>
        <v/>
      </c>
      <c r="I69" s="39" t="str">
        <f t="shared" ref="I69:I132" si="10">IF($B69="","",IF(ISNUMBER(SEARCH("NOIZYANTHROPIC",B69&amp;C69)),"NOIZYANTHROPIC",IF(ISNUMBER(SEARCH("METABEAST",B69&amp;C69)),"METABEAST",IF(ISNUMBER(SEARCH("META",B69&amp;C69)),"METABEAST",IF(ISNUMBER(SEARCH("NOIZYBEAST",B69&amp;C69)),"NOIZYBEAST",IF(ISNUMBER(SEARCH("BEAST",B69&amp;C69)),"NOIZYBEAST",IF(ISNUMBER(SEARCH("NA_",B69&amp;C69)),"NOIZYANTHROPIC",IF(ISNUMBER(SEARCH("NB_",B69&amp;C69)),"NOIZYBEAST",IF(ISNUMBER(SEARCH("MB_",B69&amp;C69)),"METABEAST","—")))))))))</f>
        <v/>
      </c>
      <c r="J69" s="39" t="str">
        <f t="shared" ref="J69:J132" si="11">IF($B69="","",IF(OR(ISNUMBER(SEARCH("NOIZYANTHROPIC",B69&amp;C69)),ISNUMBER(SEARCH("METABEAST",B69&amp;C69)),ISNUMBER(SEARCH("NOIZYBEAST",B69&amp;C69))),"High",IF(I69="—","—","Low")))</f>
        <v/>
      </c>
      <c r="K69" s="39"/>
      <c r="L69" s="39" t="str">
        <f t="shared" ref="L69:L132" si="12">IF($B69="","",IF(OR(ISNUMBER(SEARCH(".wav",B69)),ISNUMBER(SEARCH(".aif",B69)),ISNUMBER(SEARCH(".flac",B69)),ISNUMBER(SEARCH(".mp3",B69)),ISNUMBER(SEARCH(".ogg",B69)),ISNUMBER(SEARCH(".caf",B69))),"Audio",IF(H69="N","Orphan-Review","Data")))</f>
        <v/>
      </c>
      <c r="M69" s="39" t="str">
        <f t="shared" ref="M69:M132" si="13">IF($B69="","",IF(I69="NOIZYANTHROPIC","/Pristine/NOIZYANTHROPIC/",IF(I69="NOIZYBEAST","/Pristine/NOIZYBEAST/",IF(I69="METABEAST","/Pristine/METABEAST/","/Pristine/_UNSORTED/"))))</f>
        <v/>
      </c>
      <c r="N69" s="39" t="str">
        <f t="shared" ref="N69:N132" si="14">IF($B69="","",IF(G69="","",COUNTIF($G$4:$G$1000,G69)))</f>
        <v/>
      </c>
      <c r="O69" s="39" t="str">
        <f t="shared" ref="O69:O132" si="15">IF($B69="","",IF(G69="","",IF(N69&gt;1,"DUP","unique")))</f>
        <v/>
      </c>
      <c r="P69" s="39" t="str">
        <f t="shared" ref="P69:P132" si="16">IF($B69="","",IF(K69="","",COUNTIF($K$4:$K$1000,K69)))</f>
        <v/>
      </c>
      <c r="Q69" s="39"/>
      <c r="R69" s="39"/>
      <c r="S69" s="39"/>
      <c r="X69" t="str">
        <f t="shared" ref="X69:X132" si="17">IF($B69="","",IF($W69="Y","✅ SAFE TO MOVE","🔒 DO NOT DELETE — not 3-2-1"))</f>
        <v/>
      </c>
    </row>
    <row r="70" spans="1:24" x14ac:dyDescent="0.2">
      <c r="A70" s="39"/>
      <c r="B70" s="39"/>
      <c r="C70" s="39"/>
      <c r="D70" s="39"/>
      <c r="E70" s="39"/>
      <c r="F70" s="39"/>
      <c r="G70" s="39"/>
      <c r="H70" s="39" t="str">
        <f t="shared" si="9"/>
        <v/>
      </c>
      <c r="I70" s="39" t="str">
        <f t="shared" si="10"/>
        <v/>
      </c>
      <c r="J70" s="39" t="str">
        <f t="shared" si="11"/>
        <v/>
      </c>
      <c r="K70" s="39"/>
      <c r="L70" s="39" t="str">
        <f t="shared" si="12"/>
        <v/>
      </c>
      <c r="M70" s="39" t="str">
        <f t="shared" si="13"/>
        <v/>
      </c>
      <c r="N70" s="39" t="str">
        <f t="shared" si="14"/>
        <v/>
      </c>
      <c r="O70" s="39" t="str">
        <f t="shared" si="15"/>
        <v/>
      </c>
      <c r="P70" s="39" t="str">
        <f t="shared" si="16"/>
        <v/>
      </c>
      <c r="Q70" s="39"/>
      <c r="R70" s="39"/>
      <c r="S70" s="39"/>
      <c r="X70" t="str">
        <f t="shared" si="17"/>
        <v/>
      </c>
    </row>
    <row r="71" spans="1:24" x14ac:dyDescent="0.2">
      <c r="A71" s="39"/>
      <c r="B71" s="39"/>
      <c r="C71" s="39"/>
      <c r="D71" s="39"/>
      <c r="E71" s="39"/>
      <c r="F71" s="39"/>
      <c r="G71" s="39"/>
      <c r="H71" s="39" t="str">
        <f t="shared" si="9"/>
        <v/>
      </c>
      <c r="I71" s="39" t="str">
        <f t="shared" si="10"/>
        <v/>
      </c>
      <c r="J71" s="39" t="str">
        <f t="shared" si="11"/>
        <v/>
      </c>
      <c r="K71" s="39"/>
      <c r="L71" s="39" t="str">
        <f t="shared" si="12"/>
        <v/>
      </c>
      <c r="M71" s="39" t="str">
        <f t="shared" si="13"/>
        <v/>
      </c>
      <c r="N71" s="39" t="str">
        <f t="shared" si="14"/>
        <v/>
      </c>
      <c r="O71" s="39" t="str">
        <f t="shared" si="15"/>
        <v/>
      </c>
      <c r="P71" s="39" t="str">
        <f t="shared" si="16"/>
        <v/>
      </c>
      <c r="Q71" s="39"/>
      <c r="R71" s="39"/>
      <c r="S71" s="39"/>
      <c r="X71" t="str">
        <f t="shared" si="17"/>
        <v/>
      </c>
    </row>
    <row r="72" spans="1:24" x14ac:dyDescent="0.2">
      <c r="A72" s="39"/>
      <c r="B72" s="39"/>
      <c r="C72" s="39"/>
      <c r="D72" s="39"/>
      <c r="E72" s="39"/>
      <c r="F72" s="39"/>
      <c r="G72" s="39"/>
      <c r="H72" s="39" t="str">
        <f t="shared" si="9"/>
        <v/>
      </c>
      <c r="I72" s="39" t="str">
        <f t="shared" si="10"/>
        <v/>
      </c>
      <c r="J72" s="39" t="str">
        <f t="shared" si="11"/>
        <v/>
      </c>
      <c r="K72" s="39"/>
      <c r="L72" s="39" t="str">
        <f t="shared" si="12"/>
        <v/>
      </c>
      <c r="M72" s="39" t="str">
        <f t="shared" si="13"/>
        <v/>
      </c>
      <c r="N72" s="39" t="str">
        <f t="shared" si="14"/>
        <v/>
      </c>
      <c r="O72" s="39" t="str">
        <f t="shared" si="15"/>
        <v/>
      </c>
      <c r="P72" s="39" t="str">
        <f t="shared" si="16"/>
        <v/>
      </c>
      <c r="Q72" s="39"/>
      <c r="R72" s="39"/>
      <c r="S72" s="39"/>
      <c r="X72" t="str">
        <f t="shared" si="17"/>
        <v/>
      </c>
    </row>
    <row r="73" spans="1:24" x14ac:dyDescent="0.2">
      <c r="A73" s="39"/>
      <c r="B73" s="39"/>
      <c r="C73" s="39"/>
      <c r="D73" s="39"/>
      <c r="E73" s="39"/>
      <c r="F73" s="39"/>
      <c r="G73" s="39"/>
      <c r="H73" s="39" t="str">
        <f t="shared" si="9"/>
        <v/>
      </c>
      <c r="I73" s="39" t="str">
        <f t="shared" si="10"/>
        <v/>
      </c>
      <c r="J73" s="39" t="str">
        <f t="shared" si="11"/>
        <v/>
      </c>
      <c r="K73" s="39"/>
      <c r="L73" s="39" t="str">
        <f t="shared" si="12"/>
        <v/>
      </c>
      <c r="M73" s="39" t="str">
        <f t="shared" si="13"/>
        <v/>
      </c>
      <c r="N73" s="39" t="str">
        <f t="shared" si="14"/>
        <v/>
      </c>
      <c r="O73" s="39" t="str">
        <f t="shared" si="15"/>
        <v/>
      </c>
      <c r="P73" s="39" t="str">
        <f t="shared" si="16"/>
        <v/>
      </c>
      <c r="Q73" s="39"/>
      <c r="R73" s="39"/>
      <c r="S73" s="39"/>
      <c r="X73" t="str">
        <f t="shared" si="17"/>
        <v/>
      </c>
    </row>
    <row r="74" spans="1:24" x14ac:dyDescent="0.2">
      <c r="A74" s="39"/>
      <c r="B74" s="39"/>
      <c r="C74" s="39"/>
      <c r="D74" s="39"/>
      <c r="E74" s="39"/>
      <c r="F74" s="39"/>
      <c r="G74" s="39"/>
      <c r="H74" s="39" t="str">
        <f t="shared" si="9"/>
        <v/>
      </c>
      <c r="I74" s="39" t="str">
        <f t="shared" si="10"/>
        <v/>
      </c>
      <c r="J74" s="39" t="str">
        <f t="shared" si="11"/>
        <v/>
      </c>
      <c r="K74" s="39"/>
      <c r="L74" s="39" t="str">
        <f t="shared" si="12"/>
        <v/>
      </c>
      <c r="M74" s="39" t="str">
        <f t="shared" si="13"/>
        <v/>
      </c>
      <c r="N74" s="39" t="str">
        <f t="shared" si="14"/>
        <v/>
      </c>
      <c r="O74" s="39" t="str">
        <f t="shared" si="15"/>
        <v/>
      </c>
      <c r="P74" s="39" t="str">
        <f t="shared" si="16"/>
        <v/>
      </c>
      <c r="Q74" s="39"/>
      <c r="R74" s="39"/>
      <c r="S74" s="39"/>
      <c r="X74" t="str">
        <f t="shared" si="17"/>
        <v/>
      </c>
    </row>
    <row r="75" spans="1:24" x14ac:dyDescent="0.2">
      <c r="A75" s="39"/>
      <c r="B75" s="39"/>
      <c r="C75" s="39"/>
      <c r="D75" s="39"/>
      <c r="E75" s="39"/>
      <c r="F75" s="39"/>
      <c r="G75" s="39"/>
      <c r="H75" s="39" t="str">
        <f t="shared" si="9"/>
        <v/>
      </c>
      <c r="I75" s="39" t="str">
        <f t="shared" si="10"/>
        <v/>
      </c>
      <c r="J75" s="39" t="str">
        <f t="shared" si="11"/>
        <v/>
      </c>
      <c r="K75" s="39"/>
      <c r="L75" s="39" t="str">
        <f t="shared" si="12"/>
        <v/>
      </c>
      <c r="M75" s="39" t="str">
        <f t="shared" si="13"/>
        <v/>
      </c>
      <c r="N75" s="39" t="str">
        <f t="shared" si="14"/>
        <v/>
      </c>
      <c r="O75" s="39" t="str">
        <f t="shared" si="15"/>
        <v/>
      </c>
      <c r="P75" s="39" t="str">
        <f t="shared" si="16"/>
        <v/>
      </c>
      <c r="Q75" s="39"/>
      <c r="R75" s="39"/>
      <c r="S75" s="39"/>
      <c r="X75" t="str">
        <f t="shared" si="17"/>
        <v/>
      </c>
    </row>
    <row r="76" spans="1:24" x14ac:dyDescent="0.2">
      <c r="A76" s="39"/>
      <c r="B76" s="39"/>
      <c r="C76" s="39"/>
      <c r="D76" s="39"/>
      <c r="E76" s="39"/>
      <c r="F76" s="39"/>
      <c r="G76" s="39"/>
      <c r="H76" s="39" t="str">
        <f t="shared" si="9"/>
        <v/>
      </c>
      <c r="I76" s="39" t="str">
        <f t="shared" si="10"/>
        <v/>
      </c>
      <c r="J76" s="39" t="str">
        <f t="shared" si="11"/>
        <v/>
      </c>
      <c r="K76" s="39"/>
      <c r="L76" s="39" t="str">
        <f t="shared" si="12"/>
        <v/>
      </c>
      <c r="M76" s="39" t="str">
        <f t="shared" si="13"/>
        <v/>
      </c>
      <c r="N76" s="39" t="str">
        <f t="shared" si="14"/>
        <v/>
      </c>
      <c r="O76" s="39" t="str">
        <f t="shared" si="15"/>
        <v/>
      </c>
      <c r="P76" s="39" t="str">
        <f t="shared" si="16"/>
        <v/>
      </c>
      <c r="Q76" s="39"/>
      <c r="R76" s="39"/>
      <c r="S76" s="39"/>
      <c r="X76" t="str">
        <f t="shared" si="17"/>
        <v/>
      </c>
    </row>
    <row r="77" spans="1:24" x14ac:dyDescent="0.2">
      <c r="A77" s="39"/>
      <c r="B77" s="39"/>
      <c r="C77" s="39"/>
      <c r="D77" s="39"/>
      <c r="E77" s="39"/>
      <c r="F77" s="39"/>
      <c r="G77" s="39"/>
      <c r="H77" s="39" t="str">
        <f t="shared" si="9"/>
        <v/>
      </c>
      <c r="I77" s="39" t="str">
        <f t="shared" si="10"/>
        <v/>
      </c>
      <c r="J77" s="39" t="str">
        <f t="shared" si="11"/>
        <v/>
      </c>
      <c r="K77" s="39"/>
      <c r="L77" s="39" t="str">
        <f t="shared" si="12"/>
        <v/>
      </c>
      <c r="M77" s="39" t="str">
        <f t="shared" si="13"/>
        <v/>
      </c>
      <c r="N77" s="39" t="str">
        <f t="shared" si="14"/>
        <v/>
      </c>
      <c r="O77" s="39" t="str">
        <f t="shared" si="15"/>
        <v/>
      </c>
      <c r="P77" s="39" t="str">
        <f t="shared" si="16"/>
        <v/>
      </c>
      <c r="Q77" s="39"/>
      <c r="R77" s="39"/>
      <c r="S77" s="39"/>
      <c r="X77" t="str">
        <f t="shared" si="17"/>
        <v/>
      </c>
    </row>
    <row r="78" spans="1:24" x14ac:dyDescent="0.2">
      <c r="A78" s="39"/>
      <c r="B78" s="39"/>
      <c r="C78" s="39"/>
      <c r="D78" s="39"/>
      <c r="E78" s="39"/>
      <c r="F78" s="39"/>
      <c r="G78" s="39"/>
      <c r="H78" s="39" t="str">
        <f t="shared" si="9"/>
        <v/>
      </c>
      <c r="I78" s="39" t="str">
        <f t="shared" si="10"/>
        <v/>
      </c>
      <c r="J78" s="39" t="str">
        <f t="shared" si="11"/>
        <v/>
      </c>
      <c r="K78" s="39"/>
      <c r="L78" s="39" t="str">
        <f t="shared" si="12"/>
        <v/>
      </c>
      <c r="M78" s="39" t="str">
        <f t="shared" si="13"/>
        <v/>
      </c>
      <c r="N78" s="39" t="str">
        <f t="shared" si="14"/>
        <v/>
      </c>
      <c r="O78" s="39" t="str">
        <f t="shared" si="15"/>
        <v/>
      </c>
      <c r="P78" s="39" t="str">
        <f t="shared" si="16"/>
        <v/>
      </c>
      <c r="Q78" s="39"/>
      <c r="R78" s="39"/>
      <c r="S78" s="39"/>
      <c r="X78" t="str">
        <f t="shared" si="17"/>
        <v/>
      </c>
    </row>
    <row r="79" spans="1:24" x14ac:dyDescent="0.2">
      <c r="A79" s="39"/>
      <c r="B79" s="39"/>
      <c r="C79" s="39"/>
      <c r="D79" s="39"/>
      <c r="E79" s="39"/>
      <c r="F79" s="39"/>
      <c r="G79" s="39"/>
      <c r="H79" s="39" t="str">
        <f t="shared" si="9"/>
        <v/>
      </c>
      <c r="I79" s="39" t="str">
        <f t="shared" si="10"/>
        <v/>
      </c>
      <c r="J79" s="39" t="str">
        <f t="shared" si="11"/>
        <v/>
      </c>
      <c r="K79" s="39"/>
      <c r="L79" s="39" t="str">
        <f t="shared" si="12"/>
        <v/>
      </c>
      <c r="M79" s="39" t="str">
        <f t="shared" si="13"/>
        <v/>
      </c>
      <c r="N79" s="39" t="str">
        <f t="shared" si="14"/>
        <v/>
      </c>
      <c r="O79" s="39" t="str">
        <f t="shared" si="15"/>
        <v/>
      </c>
      <c r="P79" s="39" t="str">
        <f t="shared" si="16"/>
        <v/>
      </c>
      <c r="Q79" s="39"/>
      <c r="R79" s="39"/>
      <c r="S79" s="39"/>
      <c r="X79" t="str">
        <f t="shared" si="17"/>
        <v/>
      </c>
    </row>
    <row r="80" spans="1:24" x14ac:dyDescent="0.2">
      <c r="A80" s="39"/>
      <c r="B80" s="39"/>
      <c r="C80" s="39"/>
      <c r="D80" s="39"/>
      <c r="E80" s="39"/>
      <c r="F80" s="39"/>
      <c r="G80" s="39"/>
      <c r="H80" s="39" t="str">
        <f t="shared" si="9"/>
        <v/>
      </c>
      <c r="I80" s="39" t="str">
        <f t="shared" si="10"/>
        <v/>
      </c>
      <c r="J80" s="39" t="str">
        <f t="shared" si="11"/>
        <v/>
      </c>
      <c r="K80" s="39"/>
      <c r="L80" s="39" t="str">
        <f t="shared" si="12"/>
        <v/>
      </c>
      <c r="M80" s="39" t="str">
        <f t="shared" si="13"/>
        <v/>
      </c>
      <c r="N80" s="39" t="str">
        <f t="shared" si="14"/>
        <v/>
      </c>
      <c r="O80" s="39" t="str">
        <f t="shared" si="15"/>
        <v/>
      </c>
      <c r="P80" s="39" t="str">
        <f t="shared" si="16"/>
        <v/>
      </c>
      <c r="Q80" s="39"/>
      <c r="R80" s="39"/>
      <c r="S80" s="39"/>
      <c r="X80" t="str">
        <f t="shared" si="17"/>
        <v/>
      </c>
    </row>
    <row r="81" spans="1:24" x14ac:dyDescent="0.2">
      <c r="A81" s="39"/>
      <c r="B81" s="39"/>
      <c r="C81" s="39"/>
      <c r="D81" s="39"/>
      <c r="E81" s="39"/>
      <c r="F81" s="39"/>
      <c r="G81" s="39"/>
      <c r="H81" s="39" t="str">
        <f t="shared" si="9"/>
        <v/>
      </c>
      <c r="I81" s="39" t="str">
        <f t="shared" si="10"/>
        <v/>
      </c>
      <c r="J81" s="39" t="str">
        <f t="shared" si="11"/>
        <v/>
      </c>
      <c r="K81" s="39"/>
      <c r="L81" s="39" t="str">
        <f t="shared" si="12"/>
        <v/>
      </c>
      <c r="M81" s="39" t="str">
        <f t="shared" si="13"/>
        <v/>
      </c>
      <c r="N81" s="39" t="str">
        <f t="shared" si="14"/>
        <v/>
      </c>
      <c r="O81" s="39" t="str">
        <f t="shared" si="15"/>
        <v/>
      </c>
      <c r="P81" s="39" t="str">
        <f t="shared" si="16"/>
        <v/>
      </c>
      <c r="Q81" s="39"/>
      <c r="R81" s="39"/>
      <c r="S81" s="39"/>
      <c r="X81" t="str">
        <f t="shared" si="17"/>
        <v/>
      </c>
    </row>
    <row r="82" spans="1:24" x14ac:dyDescent="0.2">
      <c r="A82" s="39"/>
      <c r="B82" s="39"/>
      <c r="C82" s="39"/>
      <c r="D82" s="39"/>
      <c r="E82" s="39"/>
      <c r="F82" s="39"/>
      <c r="G82" s="39"/>
      <c r="H82" s="39" t="str">
        <f t="shared" si="9"/>
        <v/>
      </c>
      <c r="I82" s="39" t="str">
        <f t="shared" si="10"/>
        <v/>
      </c>
      <c r="J82" s="39" t="str">
        <f t="shared" si="11"/>
        <v/>
      </c>
      <c r="K82" s="39"/>
      <c r="L82" s="39" t="str">
        <f t="shared" si="12"/>
        <v/>
      </c>
      <c r="M82" s="39" t="str">
        <f t="shared" si="13"/>
        <v/>
      </c>
      <c r="N82" s="39" t="str">
        <f t="shared" si="14"/>
        <v/>
      </c>
      <c r="O82" s="39" t="str">
        <f t="shared" si="15"/>
        <v/>
      </c>
      <c r="P82" s="39" t="str">
        <f t="shared" si="16"/>
        <v/>
      </c>
      <c r="Q82" s="39"/>
      <c r="R82" s="39"/>
      <c r="S82" s="39"/>
      <c r="X82" t="str">
        <f t="shared" si="17"/>
        <v/>
      </c>
    </row>
    <row r="83" spans="1:24" x14ac:dyDescent="0.2">
      <c r="A83" s="39"/>
      <c r="B83" s="39"/>
      <c r="C83" s="39"/>
      <c r="D83" s="39"/>
      <c r="E83" s="39"/>
      <c r="F83" s="39"/>
      <c r="G83" s="39"/>
      <c r="H83" s="39" t="str">
        <f t="shared" si="9"/>
        <v/>
      </c>
      <c r="I83" s="39" t="str">
        <f t="shared" si="10"/>
        <v/>
      </c>
      <c r="J83" s="39" t="str">
        <f t="shared" si="11"/>
        <v/>
      </c>
      <c r="K83" s="39"/>
      <c r="L83" s="39" t="str">
        <f t="shared" si="12"/>
        <v/>
      </c>
      <c r="M83" s="39" t="str">
        <f t="shared" si="13"/>
        <v/>
      </c>
      <c r="N83" s="39" t="str">
        <f t="shared" si="14"/>
        <v/>
      </c>
      <c r="O83" s="39" t="str">
        <f t="shared" si="15"/>
        <v/>
      </c>
      <c r="P83" s="39" t="str">
        <f t="shared" si="16"/>
        <v/>
      </c>
      <c r="Q83" s="39"/>
      <c r="R83" s="39"/>
      <c r="S83" s="39"/>
      <c r="X83" t="str">
        <f t="shared" si="17"/>
        <v/>
      </c>
    </row>
    <row r="84" spans="1:24" x14ac:dyDescent="0.2">
      <c r="A84" s="39"/>
      <c r="B84" s="39"/>
      <c r="C84" s="39"/>
      <c r="D84" s="39"/>
      <c r="E84" s="39"/>
      <c r="F84" s="39"/>
      <c r="G84" s="39"/>
      <c r="H84" s="39" t="str">
        <f t="shared" si="9"/>
        <v/>
      </c>
      <c r="I84" s="39" t="str">
        <f t="shared" si="10"/>
        <v/>
      </c>
      <c r="J84" s="39" t="str">
        <f t="shared" si="11"/>
        <v/>
      </c>
      <c r="K84" s="39"/>
      <c r="L84" s="39" t="str">
        <f t="shared" si="12"/>
        <v/>
      </c>
      <c r="M84" s="39" t="str">
        <f t="shared" si="13"/>
        <v/>
      </c>
      <c r="N84" s="39" t="str">
        <f t="shared" si="14"/>
        <v/>
      </c>
      <c r="O84" s="39" t="str">
        <f t="shared" si="15"/>
        <v/>
      </c>
      <c r="P84" s="39" t="str">
        <f t="shared" si="16"/>
        <v/>
      </c>
      <c r="Q84" s="39"/>
      <c r="R84" s="39"/>
      <c r="S84" s="39"/>
      <c r="X84" t="str">
        <f t="shared" si="17"/>
        <v/>
      </c>
    </row>
    <row r="85" spans="1:24" x14ac:dyDescent="0.2">
      <c r="A85" s="39"/>
      <c r="B85" s="39"/>
      <c r="C85" s="39"/>
      <c r="D85" s="39"/>
      <c r="E85" s="39"/>
      <c r="F85" s="39"/>
      <c r="G85" s="39"/>
      <c r="H85" s="39" t="str">
        <f t="shared" si="9"/>
        <v/>
      </c>
      <c r="I85" s="39" t="str">
        <f t="shared" si="10"/>
        <v/>
      </c>
      <c r="J85" s="39" t="str">
        <f t="shared" si="11"/>
        <v/>
      </c>
      <c r="K85" s="39"/>
      <c r="L85" s="39" t="str">
        <f t="shared" si="12"/>
        <v/>
      </c>
      <c r="M85" s="39" t="str">
        <f t="shared" si="13"/>
        <v/>
      </c>
      <c r="N85" s="39" t="str">
        <f t="shared" si="14"/>
        <v/>
      </c>
      <c r="O85" s="39" t="str">
        <f t="shared" si="15"/>
        <v/>
      </c>
      <c r="P85" s="39" t="str">
        <f t="shared" si="16"/>
        <v/>
      </c>
      <c r="Q85" s="39"/>
      <c r="R85" s="39"/>
      <c r="S85" s="39"/>
      <c r="X85" t="str">
        <f t="shared" si="17"/>
        <v/>
      </c>
    </row>
    <row r="86" spans="1:24" x14ac:dyDescent="0.2">
      <c r="A86" s="39"/>
      <c r="B86" s="39"/>
      <c r="C86" s="39"/>
      <c r="D86" s="39"/>
      <c r="E86" s="39"/>
      <c r="F86" s="39"/>
      <c r="G86" s="39"/>
      <c r="H86" s="39" t="str">
        <f t="shared" si="9"/>
        <v/>
      </c>
      <c r="I86" s="39" t="str">
        <f t="shared" si="10"/>
        <v/>
      </c>
      <c r="J86" s="39" t="str">
        <f t="shared" si="11"/>
        <v/>
      </c>
      <c r="K86" s="39"/>
      <c r="L86" s="39" t="str">
        <f t="shared" si="12"/>
        <v/>
      </c>
      <c r="M86" s="39" t="str">
        <f t="shared" si="13"/>
        <v/>
      </c>
      <c r="N86" s="39" t="str">
        <f t="shared" si="14"/>
        <v/>
      </c>
      <c r="O86" s="39" t="str">
        <f t="shared" si="15"/>
        <v/>
      </c>
      <c r="P86" s="39" t="str">
        <f t="shared" si="16"/>
        <v/>
      </c>
      <c r="Q86" s="39"/>
      <c r="R86" s="39"/>
      <c r="S86" s="39"/>
      <c r="X86" t="str">
        <f t="shared" si="17"/>
        <v/>
      </c>
    </row>
    <row r="87" spans="1:24" x14ac:dyDescent="0.2">
      <c r="A87" s="39"/>
      <c r="B87" s="39"/>
      <c r="C87" s="39"/>
      <c r="D87" s="39"/>
      <c r="E87" s="39"/>
      <c r="F87" s="39"/>
      <c r="G87" s="39"/>
      <c r="H87" s="39" t="str">
        <f t="shared" si="9"/>
        <v/>
      </c>
      <c r="I87" s="39" t="str">
        <f t="shared" si="10"/>
        <v/>
      </c>
      <c r="J87" s="39" t="str">
        <f t="shared" si="11"/>
        <v/>
      </c>
      <c r="K87" s="39"/>
      <c r="L87" s="39" t="str">
        <f t="shared" si="12"/>
        <v/>
      </c>
      <c r="M87" s="39" t="str">
        <f t="shared" si="13"/>
        <v/>
      </c>
      <c r="N87" s="39" t="str">
        <f t="shared" si="14"/>
        <v/>
      </c>
      <c r="O87" s="39" t="str">
        <f t="shared" si="15"/>
        <v/>
      </c>
      <c r="P87" s="39" t="str">
        <f t="shared" si="16"/>
        <v/>
      </c>
      <c r="Q87" s="39"/>
      <c r="R87" s="39"/>
      <c r="S87" s="39"/>
      <c r="X87" t="str">
        <f t="shared" si="17"/>
        <v/>
      </c>
    </row>
    <row r="88" spans="1:24" x14ac:dyDescent="0.2">
      <c r="A88" s="39"/>
      <c r="B88" s="39"/>
      <c r="C88" s="39"/>
      <c r="D88" s="39"/>
      <c r="E88" s="39"/>
      <c r="F88" s="39"/>
      <c r="G88" s="39"/>
      <c r="H88" s="39" t="str">
        <f t="shared" si="9"/>
        <v/>
      </c>
      <c r="I88" s="39" t="str">
        <f t="shared" si="10"/>
        <v/>
      </c>
      <c r="J88" s="39" t="str">
        <f t="shared" si="11"/>
        <v/>
      </c>
      <c r="K88" s="39"/>
      <c r="L88" s="39" t="str">
        <f t="shared" si="12"/>
        <v/>
      </c>
      <c r="M88" s="39" t="str">
        <f t="shared" si="13"/>
        <v/>
      </c>
      <c r="N88" s="39" t="str">
        <f t="shared" si="14"/>
        <v/>
      </c>
      <c r="O88" s="39" t="str">
        <f t="shared" si="15"/>
        <v/>
      </c>
      <c r="P88" s="39" t="str">
        <f t="shared" si="16"/>
        <v/>
      </c>
      <c r="Q88" s="39"/>
      <c r="R88" s="39"/>
      <c r="S88" s="39"/>
      <c r="X88" t="str">
        <f t="shared" si="17"/>
        <v/>
      </c>
    </row>
    <row r="89" spans="1:24" x14ac:dyDescent="0.2">
      <c r="A89" s="39"/>
      <c r="B89" s="39"/>
      <c r="C89" s="39"/>
      <c r="D89" s="39"/>
      <c r="E89" s="39"/>
      <c r="F89" s="39"/>
      <c r="G89" s="39"/>
      <c r="H89" s="39" t="str">
        <f t="shared" si="9"/>
        <v/>
      </c>
      <c r="I89" s="39" t="str">
        <f t="shared" si="10"/>
        <v/>
      </c>
      <c r="J89" s="39" t="str">
        <f t="shared" si="11"/>
        <v/>
      </c>
      <c r="K89" s="39"/>
      <c r="L89" s="39" t="str">
        <f t="shared" si="12"/>
        <v/>
      </c>
      <c r="M89" s="39" t="str">
        <f t="shared" si="13"/>
        <v/>
      </c>
      <c r="N89" s="39" t="str">
        <f t="shared" si="14"/>
        <v/>
      </c>
      <c r="O89" s="39" t="str">
        <f t="shared" si="15"/>
        <v/>
      </c>
      <c r="P89" s="39" t="str">
        <f t="shared" si="16"/>
        <v/>
      </c>
      <c r="Q89" s="39"/>
      <c r="R89" s="39"/>
      <c r="S89" s="39"/>
      <c r="X89" t="str">
        <f t="shared" si="17"/>
        <v/>
      </c>
    </row>
    <row r="90" spans="1:24" x14ac:dyDescent="0.2">
      <c r="A90" s="39"/>
      <c r="B90" s="39"/>
      <c r="C90" s="39"/>
      <c r="D90" s="39"/>
      <c r="E90" s="39"/>
      <c r="F90" s="39"/>
      <c r="G90" s="39"/>
      <c r="H90" s="39" t="str">
        <f t="shared" si="9"/>
        <v/>
      </c>
      <c r="I90" s="39" t="str">
        <f t="shared" si="10"/>
        <v/>
      </c>
      <c r="J90" s="39" t="str">
        <f t="shared" si="11"/>
        <v/>
      </c>
      <c r="K90" s="39"/>
      <c r="L90" s="39" t="str">
        <f t="shared" si="12"/>
        <v/>
      </c>
      <c r="M90" s="39" t="str">
        <f t="shared" si="13"/>
        <v/>
      </c>
      <c r="N90" s="39" t="str">
        <f t="shared" si="14"/>
        <v/>
      </c>
      <c r="O90" s="39" t="str">
        <f t="shared" si="15"/>
        <v/>
      </c>
      <c r="P90" s="39" t="str">
        <f t="shared" si="16"/>
        <v/>
      </c>
      <c r="Q90" s="39"/>
      <c r="R90" s="39"/>
      <c r="S90" s="39"/>
      <c r="X90" t="str">
        <f t="shared" si="17"/>
        <v/>
      </c>
    </row>
    <row r="91" spans="1:24" x14ac:dyDescent="0.2">
      <c r="A91" s="39"/>
      <c r="B91" s="39"/>
      <c r="C91" s="39"/>
      <c r="D91" s="39"/>
      <c r="E91" s="39"/>
      <c r="F91" s="39"/>
      <c r="G91" s="39"/>
      <c r="H91" s="39" t="str">
        <f t="shared" si="9"/>
        <v/>
      </c>
      <c r="I91" s="39" t="str">
        <f t="shared" si="10"/>
        <v/>
      </c>
      <c r="J91" s="39" t="str">
        <f t="shared" si="11"/>
        <v/>
      </c>
      <c r="K91" s="39"/>
      <c r="L91" s="39" t="str">
        <f t="shared" si="12"/>
        <v/>
      </c>
      <c r="M91" s="39" t="str">
        <f t="shared" si="13"/>
        <v/>
      </c>
      <c r="N91" s="39" t="str">
        <f t="shared" si="14"/>
        <v/>
      </c>
      <c r="O91" s="39" t="str">
        <f t="shared" si="15"/>
        <v/>
      </c>
      <c r="P91" s="39" t="str">
        <f t="shared" si="16"/>
        <v/>
      </c>
      <c r="Q91" s="39"/>
      <c r="R91" s="39"/>
      <c r="S91" s="39"/>
      <c r="X91" t="str">
        <f t="shared" si="17"/>
        <v/>
      </c>
    </row>
    <row r="92" spans="1:24" x14ac:dyDescent="0.2">
      <c r="A92" s="39"/>
      <c r="B92" s="39"/>
      <c r="C92" s="39"/>
      <c r="D92" s="39"/>
      <c r="E92" s="39"/>
      <c r="F92" s="39"/>
      <c r="G92" s="39"/>
      <c r="H92" s="39" t="str">
        <f t="shared" si="9"/>
        <v/>
      </c>
      <c r="I92" s="39" t="str">
        <f t="shared" si="10"/>
        <v/>
      </c>
      <c r="J92" s="39" t="str">
        <f t="shared" si="11"/>
        <v/>
      </c>
      <c r="K92" s="39"/>
      <c r="L92" s="39" t="str">
        <f t="shared" si="12"/>
        <v/>
      </c>
      <c r="M92" s="39" t="str">
        <f t="shared" si="13"/>
        <v/>
      </c>
      <c r="N92" s="39" t="str">
        <f t="shared" si="14"/>
        <v/>
      </c>
      <c r="O92" s="39" t="str">
        <f t="shared" si="15"/>
        <v/>
      </c>
      <c r="P92" s="39" t="str">
        <f t="shared" si="16"/>
        <v/>
      </c>
      <c r="Q92" s="39"/>
      <c r="R92" s="39"/>
      <c r="S92" s="39"/>
      <c r="X92" t="str">
        <f t="shared" si="17"/>
        <v/>
      </c>
    </row>
    <row r="93" spans="1:24" x14ac:dyDescent="0.2">
      <c r="A93" s="39"/>
      <c r="B93" s="39"/>
      <c r="C93" s="39"/>
      <c r="D93" s="39"/>
      <c r="E93" s="39"/>
      <c r="F93" s="39"/>
      <c r="G93" s="39"/>
      <c r="H93" s="39" t="str">
        <f t="shared" si="9"/>
        <v/>
      </c>
      <c r="I93" s="39" t="str">
        <f t="shared" si="10"/>
        <v/>
      </c>
      <c r="J93" s="39" t="str">
        <f t="shared" si="11"/>
        <v/>
      </c>
      <c r="K93" s="39"/>
      <c r="L93" s="39" t="str">
        <f t="shared" si="12"/>
        <v/>
      </c>
      <c r="M93" s="39" t="str">
        <f t="shared" si="13"/>
        <v/>
      </c>
      <c r="N93" s="39" t="str">
        <f t="shared" si="14"/>
        <v/>
      </c>
      <c r="O93" s="39" t="str">
        <f t="shared" si="15"/>
        <v/>
      </c>
      <c r="P93" s="39" t="str">
        <f t="shared" si="16"/>
        <v/>
      </c>
      <c r="Q93" s="39"/>
      <c r="R93" s="39"/>
      <c r="S93" s="39"/>
      <c r="X93" t="str">
        <f t="shared" si="17"/>
        <v/>
      </c>
    </row>
    <row r="94" spans="1:24" x14ac:dyDescent="0.2">
      <c r="A94" s="39"/>
      <c r="B94" s="39"/>
      <c r="C94" s="39"/>
      <c r="D94" s="39"/>
      <c r="E94" s="39"/>
      <c r="F94" s="39"/>
      <c r="G94" s="39"/>
      <c r="H94" s="39" t="str">
        <f t="shared" si="9"/>
        <v/>
      </c>
      <c r="I94" s="39" t="str">
        <f t="shared" si="10"/>
        <v/>
      </c>
      <c r="J94" s="39" t="str">
        <f t="shared" si="11"/>
        <v/>
      </c>
      <c r="K94" s="39"/>
      <c r="L94" s="39" t="str">
        <f t="shared" si="12"/>
        <v/>
      </c>
      <c r="M94" s="39" t="str">
        <f t="shared" si="13"/>
        <v/>
      </c>
      <c r="N94" s="39" t="str">
        <f t="shared" si="14"/>
        <v/>
      </c>
      <c r="O94" s="39" t="str">
        <f t="shared" si="15"/>
        <v/>
      </c>
      <c r="P94" s="39" t="str">
        <f t="shared" si="16"/>
        <v/>
      </c>
      <c r="Q94" s="39"/>
      <c r="R94" s="39"/>
      <c r="S94" s="39"/>
      <c r="X94" t="str">
        <f t="shared" si="17"/>
        <v/>
      </c>
    </row>
    <row r="95" spans="1:24" x14ac:dyDescent="0.2">
      <c r="A95" s="39"/>
      <c r="B95" s="39"/>
      <c r="C95" s="39"/>
      <c r="D95" s="39"/>
      <c r="E95" s="39"/>
      <c r="F95" s="39"/>
      <c r="G95" s="39"/>
      <c r="H95" s="39" t="str">
        <f t="shared" si="9"/>
        <v/>
      </c>
      <c r="I95" s="39" t="str">
        <f t="shared" si="10"/>
        <v/>
      </c>
      <c r="J95" s="39" t="str">
        <f t="shared" si="11"/>
        <v/>
      </c>
      <c r="K95" s="39"/>
      <c r="L95" s="39" t="str">
        <f t="shared" si="12"/>
        <v/>
      </c>
      <c r="M95" s="39" t="str">
        <f t="shared" si="13"/>
        <v/>
      </c>
      <c r="N95" s="39" t="str">
        <f t="shared" si="14"/>
        <v/>
      </c>
      <c r="O95" s="39" t="str">
        <f t="shared" si="15"/>
        <v/>
      </c>
      <c r="P95" s="39" t="str">
        <f t="shared" si="16"/>
        <v/>
      </c>
      <c r="Q95" s="39"/>
      <c r="R95" s="39"/>
      <c r="S95" s="39"/>
      <c r="X95" t="str">
        <f t="shared" si="17"/>
        <v/>
      </c>
    </row>
    <row r="96" spans="1:24" x14ac:dyDescent="0.2">
      <c r="A96" s="39"/>
      <c r="B96" s="39"/>
      <c r="C96" s="39"/>
      <c r="D96" s="39"/>
      <c r="E96" s="39"/>
      <c r="F96" s="39"/>
      <c r="G96" s="39"/>
      <c r="H96" s="39" t="str">
        <f t="shared" si="9"/>
        <v/>
      </c>
      <c r="I96" s="39" t="str">
        <f t="shared" si="10"/>
        <v/>
      </c>
      <c r="J96" s="39" t="str">
        <f t="shared" si="11"/>
        <v/>
      </c>
      <c r="K96" s="39"/>
      <c r="L96" s="39" t="str">
        <f t="shared" si="12"/>
        <v/>
      </c>
      <c r="M96" s="39" t="str">
        <f t="shared" si="13"/>
        <v/>
      </c>
      <c r="N96" s="39" t="str">
        <f t="shared" si="14"/>
        <v/>
      </c>
      <c r="O96" s="39" t="str">
        <f t="shared" si="15"/>
        <v/>
      </c>
      <c r="P96" s="39" t="str">
        <f t="shared" si="16"/>
        <v/>
      </c>
      <c r="Q96" s="39"/>
      <c r="R96" s="39"/>
      <c r="S96" s="39"/>
      <c r="X96" t="str">
        <f t="shared" si="17"/>
        <v/>
      </c>
    </row>
    <row r="97" spans="1:24" x14ac:dyDescent="0.2">
      <c r="A97" s="39"/>
      <c r="B97" s="39"/>
      <c r="C97" s="39"/>
      <c r="D97" s="39"/>
      <c r="E97" s="39"/>
      <c r="F97" s="39"/>
      <c r="G97" s="39"/>
      <c r="H97" s="39" t="str">
        <f t="shared" si="9"/>
        <v/>
      </c>
      <c r="I97" s="39" t="str">
        <f t="shared" si="10"/>
        <v/>
      </c>
      <c r="J97" s="39" t="str">
        <f t="shared" si="11"/>
        <v/>
      </c>
      <c r="K97" s="39"/>
      <c r="L97" s="39" t="str">
        <f t="shared" si="12"/>
        <v/>
      </c>
      <c r="M97" s="39" t="str">
        <f t="shared" si="13"/>
        <v/>
      </c>
      <c r="N97" s="39" t="str">
        <f t="shared" si="14"/>
        <v/>
      </c>
      <c r="O97" s="39" t="str">
        <f t="shared" si="15"/>
        <v/>
      </c>
      <c r="P97" s="39" t="str">
        <f t="shared" si="16"/>
        <v/>
      </c>
      <c r="Q97" s="39"/>
      <c r="R97" s="39"/>
      <c r="S97" s="39"/>
      <c r="X97" t="str">
        <f t="shared" si="17"/>
        <v/>
      </c>
    </row>
    <row r="98" spans="1:24" x14ac:dyDescent="0.2">
      <c r="A98" s="39"/>
      <c r="B98" s="39"/>
      <c r="C98" s="39"/>
      <c r="D98" s="39"/>
      <c r="E98" s="39"/>
      <c r="F98" s="39"/>
      <c r="G98" s="39"/>
      <c r="H98" s="39" t="str">
        <f t="shared" si="9"/>
        <v/>
      </c>
      <c r="I98" s="39" t="str">
        <f t="shared" si="10"/>
        <v/>
      </c>
      <c r="J98" s="39" t="str">
        <f t="shared" si="11"/>
        <v/>
      </c>
      <c r="K98" s="39"/>
      <c r="L98" s="39" t="str">
        <f t="shared" si="12"/>
        <v/>
      </c>
      <c r="M98" s="39" t="str">
        <f t="shared" si="13"/>
        <v/>
      </c>
      <c r="N98" s="39" t="str">
        <f t="shared" si="14"/>
        <v/>
      </c>
      <c r="O98" s="39" t="str">
        <f t="shared" si="15"/>
        <v/>
      </c>
      <c r="P98" s="39" t="str">
        <f t="shared" si="16"/>
        <v/>
      </c>
      <c r="Q98" s="39"/>
      <c r="R98" s="39"/>
      <c r="S98" s="39"/>
      <c r="X98" t="str">
        <f t="shared" si="17"/>
        <v/>
      </c>
    </row>
    <row r="99" spans="1:24" x14ac:dyDescent="0.2">
      <c r="A99" s="39"/>
      <c r="B99" s="39"/>
      <c r="C99" s="39"/>
      <c r="D99" s="39"/>
      <c r="E99" s="39"/>
      <c r="F99" s="39"/>
      <c r="G99" s="39"/>
      <c r="H99" s="39" t="str">
        <f t="shared" si="9"/>
        <v/>
      </c>
      <c r="I99" s="39" t="str">
        <f t="shared" si="10"/>
        <v/>
      </c>
      <c r="J99" s="39" t="str">
        <f t="shared" si="11"/>
        <v/>
      </c>
      <c r="K99" s="39"/>
      <c r="L99" s="39" t="str">
        <f t="shared" si="12"/>
        <v/>
      </c>
      <c r="M99" s="39" t="str">
        <f t="shared" si="13"/>
        <v/>
      </c>
      <c r="N99" s="39" t="str">
        <f t="shared" si="14"/>
        <v/>
      </c>
      <c r="O99" s="39" t="str">
        <f t="shared" si="15"/>
        <v/>
      </c>
      <c r="P99" s="39" t="str">
        <f t="shared" si="16"/>
        <v/>
      </c>
      <c r="Q99" s="39"/>
      <c r="R99" s="39"/>
      <c r="S99" s="39"/>
      <c r="X99" t="str">
        <f t="shared" si="17"/>
        <v/>
      </c>
    </row>
    <row r="100" spans="1:24" x14ac:dyDescent="0.2">
      <c r="A100" s="39"/>
      <c r="B100" s="39"/>
      <c r="C100" s="39"/>
      <c r="D100" s="39"/>
      <c r="E100" s="39"/>
      <c r="F100" s="39"/>
      <c r="G100" s="39"/>
      <c r="H100" s="39" t="str">
        <f t="shared" si="9"/>
        <v/>
      </c>
      <c r="I100" s="39" t="str">
        <f t="shared" si="10"/>
        <v/>
      </c>
      <c r="J100" s="39" t="str">
        <f t="shared" si="11"/>
        <v/>
      </c>
      <c r="K100" s="39"/>
      <c r="L100" s="39" t="str">
        <f t="shared" si="12"/>
        <v/>
      </c>
      <c r="M100" s="39" t="str">
        <f t="shared" si="13"/>
        <v/>
      </c>
      <c r="N100" s="39" t="str">
        <f t="shared" si="14"/>
        <v/>
      </c>
      <c r="O100" s="39" t="str">
        <f t="shared" si="15"/>
        <v/>
      </c>
      <c r="P100" s="39" t="str">
        <f t="shared" si="16"/>
        <v/>
      </c>
      <c r="Q100" s="39"/>
      <c r="R100" s="39"/>
      <c r="S100" s="39"/>
      <c r="X100" t="str">
        <f t="shared" si="17"/>
        <v/>
      </c>
    </row>
    <row r="101" spans="1:24" x14ac:dyDescent="0.2">
      <c r="A101" s="39"/>
      <c r="B101" s="39"/>
      <c r="C101" s="39"/>
      <c r="D101" s="39"/>
      <c r="E101" s="39"/>
      <c r="F101" s="39"/>
      <c r="G101" s="39"/>
      <c r="H101" s="39" t="str">
        <f t="shared" si="9"/>
        <v/>
      </c>
      <c r="I101" s="39" t="str">
        <f t="shared" si="10"/>
        <v/>
      </c>
      <c r="J101" s="39" t="str">
        <f t="shared" si="11"/>
        <v/>
      </c>
      <c r="K101" s="39"/>
      <c r="L101" s="39" t="str">
        <f t="shared" si="12"/>
        <v/>
      </c>
      <c r="M101" s="39" t="str">
        <f t="shared" si="13"/>
        <v/>
      </c>
      <c r="N101" s="39" t="str">
        <f t="shared" si="14"/>
        <v/>
      </c>
      <c r="O101" s="39" t="str">
        <f t="shared" si="15"/>
        <v/>
      </c>
      <c r="P101" s="39" t="str">
        <f t="shared" si="16"/>
        <v/>
      </c>
      <c r="Q101" s="39"/>
      <c r="R101" s="39"/>
      <c r="S101" s="39"/>
      <c r="X101" t="str">
        <f t="shared" si="17"/>
        <v/>
      </c>
    </row>
    <row r="102" spans="1:24" x14ac:dyDescent="0.2">
      <c r="A102" s="39"/>
      <c r="B102" s="39"/>
      <c r="C102" s="39"/>
      <c r="D102" s="39"/>
      <c r="E102" s="39"/>
      <c r="F102" s="39"/>
      <c r="G102" s="39"/>
      <c r="H102" s="39" t="str">
        <f t="shared" si="9"/>
        <v/>
      </c>
      <c r="I102" s="39" t="str">
        <f t="shared" si="10"/>
        <v/>
      </c>
      <c r="J102" s="39" t="str">
        <f t="shared" si="11"/>
        <v/>
      </c>
      <c r="K102" s="39"/>
      <c r="L102" s="39" t="str">
        <f t="shared" si="12"/>
        <v/>
      </c>
      <c r="M102" s="39" t="str">
        <f t="shared" si="13"/>
        <v/>
      </c>
      <c r="N102" s="39" t="str">
        <f t="shared" si="14"/>
        <v/>
      </c>
      <c r="O102" s="39" t="str">
        <f t="shared" si="15"/>
        <v/>
      </c>
      <c r="P102" s="39" t="str">
        <f t="shared" si="16"/>
        <v/>
      </c>
      <c r="Q102" s="39"/>
      <c r="R102" s="39"/>
      <c r="S102" s="39"/>
      <c r="X102" t="str">
        <f t="shared" si="17"/>
        <v/>
      </c>
    </row>
    <row r="103" spans="1:24" x14ac:dyDescent="0.2">
      <c r="A103" s="39"/>
      <c r="B103" s="39"/>
      <c r="C103" s="39"/>
      <c r="D103" s="39"/>
      <c r="E103" s="39"/>
      <c r="F103" s="39"/>
      <c r="G103" s="39"/>
      <c r="H103" s="39" t="str">
        <f t="shared" si="9"/>
        <v/>
      </c>
      <c r="I103" s="39" t="str">
        <f t="shared" si="10"/>
        <v/>
      </c>
      <c r="J103" s="39" t="str">
        <f t="shared" si="11"/>
        <v/>
      </c>
      <c r="K103" s="39"/>
      <c r="L103" s="39" t="str">
        <f t="shared" si="12"/>
        <v/>
      </c>
      <c r="M103" s="39" t="str">
        <f t="shared" si="13"/>
        <v/>
      </c>
      <c r="N103" s="39" t="str">
        <f t="shared" si="14"/>
        <v/>
      </c>
      <c r="O103" s="39" t="str">
        <f t="shared" si="15"/>
        <v/>
      </c>
      <c r="P103" s="39" t="str">
        <f t="shared" si="16"/>
        <v/>
      </c>
      <c r="Q103" s="39"/>
      <c r="R103" s="39"/>
      <c r="S103" s="39"/>
      <c r="X103" t="str">
        <f t="shared" si="17"/>
        <v/>
      </c>
    </row>
    <row r="104" spans="1:24" x14ac:dyDescent="0.2">
      <c r="A104" s="39"/>
      <c r="B104" s="39"/>
      <c r="C104" s="39"/>
      <c r="D104" s="39"/>
      <c r="E104" s="39"/>
      <c r="F104" s="39"/>
      <c r="G104" s="39"/>
      <c r="H104" s="39" t="str">
        <f t="shared" si="9"/>
        <v/>
      </c>
      <c r="I104" s="39" t="str">
        <f t="shared" si="10"/>
        <v/>
      </c>
      <c r="J104" s="39" t="str">
        <f t="shared" si="11"/>
        <v/>
      </c>
      <c r="K104" s="39"/>
      <c r="L104" s="39" t="str">
        <f t="shared" si="12"/>
        <v/>
      </c>
      <c r="M104" s="39" t="str">
        <f t="shared" si="13"/>
        <v/>
      </c>
      <c r="N104" s="39" t="str">
        <f t="shared" si="14"/>
        <v/>
      </c>
      <c r="O104" s="39" t="str">
        <f t="shared" si="15"/>
        <v/>
      </c>
      <c r="P104" s="39" t="str">
        <f t="shared" si="16"/>
        <v/>
      </c>
      <c r="Q104" s="39"/>
      <c r="R104" s="39"/>
      <c r="S104" s="39"/>
      <c r="X104" t="str">
        <f t="shared" si="17"/>
        <v/>
      </c>
    </row>
    <row r="105" spans="1:24" x14ac:dyDescent="0.2">
      <c r="A105" s="39"/>
      <c r="B105" s="39"/>
      <c r="C105" s="39"/>
      <c r="D105" s="39"/>
      <c r="E105" s="39"/>
      <c r="F105" s="39"/>
      <c r="G105" s="39"/>
      <c r="H105" s="39" t="str">
        <f t="shared" si="9"/>
        <v/>
      </c>
      <c r="I105" s="39" t="str">
        <f t="shared" si="10"/>
        <v/>
      </c>
      <c r="J105" s="39" t="str">
        <f t="shared" si="11"/>
        <v/>
      </c>
      <c r="K105" s="39"/>
      <c r="L105" s="39" t="str">
        <f t="shared" si="12"/>
        <v/>
      </c>
      <c r="M105" s="39" t="str">
        <f t="shared" si="13"/>
        <v/>
      </c>
      <c r="N105" s="39" t="str">
        <f t="shared" si="14"/>
        <v/>
      </c>
      <c r="O105" s="39" t="str">
        <f t="shared" si="15"/>
        <v/>
      </c>
      <c r="P105" s="39" t="str">
        <f t="shared" si="16"/>
        <v/>
      </c>
      <c r="Q105" s="39"/>
      <c r="R105" s="39"/>
      <c r="S105" s="39"/>
      <c r="X105" t="str">
        <f t="shared" si="17"/>
        <v/>
      </c>
    </row>
    <row r="106" spans="1:24" x14ac:dyDescent="0.2">
      <c r="A106" s="39"/>
      <c r="B106" s="39"/>
      <c r="C106" s="39"/>
      <c r="D106" s="39"/>
      <c r="E106" s="39"/>
      <c r="F106" s="39"/>
      <c r="G106" s="39"/>
      <c r="H106" s="39" t="str">
        <f t="shared" si="9"/>
        <v/>
      </c>
      <c r="I106" s="39" t="str">
        <f t="shared" si="10"/>
        <v/>
      </c>
      <c r="J106" s="39" t="str">
        <f t="shared" si="11"/>
        <v/>
      </c>
      <c r="K106" s="39"/>
      <c r="L106" s="39" t="str">
        <f t="shared" si="12"/>
        <v/>
      </c>
      <c r="M106" s="39" t="str">
        <f t="shared" si="13"/>
        <v/>
      </c>
      <c r="N106" s="39" t="str">
        <f t="shared" si="14"/>
        <v/>
      </c>
      <c r="O106" s="39" t="str">
        <f t="shared" si="15"/>
        <v/>
      </c>
      <c r="P106" s="39" t="str">
        <f t="shared" si="16"/>
        <v/>
      </c>
      <c r="Q106" s="39"/>
      <c r="R106" s="39"/>
      <c r="S106" s="39"/>
      <c r="X106" t="str">
        <f t="shared" si="17"/>
        <v/>
      </c>
    </row>
    <row r="107" spans="1:24" x14ac:dyDescent="0.2">
      <c r="A107" s="39"/>
      <c r="B107" s="39"/>
      <c r="C107" s="39"/>
      <c r="D107" s="39"/>
      <c r="E107" s="39"/>
      <c r="F107" s="39"/>
      <c r="G107" s="39"/>
      <c r="H107" s="39" t="str">
        <f t="shared" si="9"/>
        <v/>
      </c>
      <c r="I107" s="39" t="str">
        <f t="shared" si="10"/>
        <v/>
      </c>
      <c r="J107" s="39" t="str">
        <f t="shared" si="11"/>
        <v/>
      </c>
      <c r="K107" s="39"/>
      <c r="L107" s="39" t="str">
        <f t="shared" si="12"/>
        <v/>
      </c>
      <c r="M107" s="39" t="str">
        <f t="shared" si="13"/>
        <v/>
      </c>
      <c r="N107" s="39" t="str">
        <f t="shared" si="14"/>
        <v/>
      </c>
      <c r="O107" s="39" t="str">
        <f t="shared" si="15"/>
        <v/>
      </c>
      <c r="P107" s="39" t="str">
        <f t="shared" si="16"/>
        <v/>
      </c>
      <c r="Q107" s="39"/>
      <c r="R107" s="39"/>
      <c r="S107" s="39"/>
      <c r="X107" t="str">
        <f t="shared" si="17"/>
        <v/>
      </c>
    </row>
    <row r="108" spans="1:24" x14ac:dyDescent="0.2">
      <c r="A108" s="39"/>
      <c r="B108" s="39"/>
      <c r="C108" s="39"/>
      <c r="D108" s="39"/>
      <c r="E108" s="39"/>
      <c r="F108" s="39"/>
      <c r="G108" s="39"/>
      <c r="H108" s="39" t="str">
        <f t="shared" si="9"/>
        <v/>
      </c>
      <c r="I108" s="39" t="str">
        <f t="shared" si="10"/>
        <v/>
      </c>
      <c r="J108" s="39" t="str">
        <f t="shared" si="11"/>
        <v/>
      </c>
      <c r="K108" s="39"/>
      <c r="L108" s="39" t="str">
        <f t="shared" si="12"/>
        <v/>
      </c>
      <c r="M108" s="39" t="str">
        <f t="shared" si="13"/>
        <v/>
      </c>
      <c r="N108" s="39" t="str">
        <f t="shared" si="14"/>
        <v/>
      </c>
      <c r="O108" s="39" t="str">
        <f t="shared" si="15"/>
        <v/>
      </c>
      <c r="P108" s="39" t="str">
        <f t="shared" si="16"/>
        <v/>
      </c>
      <c r="Q108" s="39"/>
      <c r="R108" s="39"/>
      <c r="S108" s="39"/>
      <c r="X108" t="str">
        <f t="shared" si="17"/>
        <v/>
      </c>
    </row>
    <row r="109" spans="1:24" x14ac:dyDescent="0.2">
      <c r="A109" s="39"/>
      <c r="B109" s="39"/>
      <c r="C109" s="39"/>
      <c r="D109" s="39"/>
      <c r="E109" s="39"/>
      <c r="F109" s="39"/>
      <c r="G109" s="39"/>
      <c r="H109" s="39" t="str">
        <f t="shared" si="9"/>
        <v/>
      </c>
      <c r="I109" s="39" t="str">
        <f t="shared" si="10"/>
        <v/>
      </c>
      <c r="J109" s="39" t="str">
        <f t="shared" si="11"/>
        <v/>
      </c>
      <c r="K109" s="39"/>
      <c r="L109" s="39" t="str">
        <f t="shared" si="12"/>
        <v/>
      </c>
      <c r="M109" s="39" t="str">
        <f t="shared" si="13"/>
        <v/>
      </c>
      <c r="N109" s="39" t="str">
        <f t="shared" si="14"/>
        <v/>
      </c>
      <c r="O109" s="39" t="str">
        <f t="shared" si="15"/>
        <v/>
      </c>
      <c r="P109" s="39" t="str">
        <f t="shared" si="16"/>
        <v/>
      </c>
      <c r="Q109" s="39"/>
      <c r="R109" s="39"/>
      <c r="S109" s="39"/>
      <c r="X109" t="str">
        <f t="shared" si="17"/>
        <v/>
      </c>
    </row>
    <row r="110" spans="1:24" x14ac:dyDescent="0.2">
      <c r="A110" s="39"/>
      <c r="B110" s="39"/>
      <c r="C110" s="39"/>
      <c r="D110" s="39"/>
      <c r="E110" s="39"/>
      <c r="F110" s="39"/>
      <c r="G110" s="39"/>
      <c r="H110" s="39" t="str">
        <f t="shared" si="9"/>
        <v/>
      </c>
      <c r="I110" s="39" t="str">
        <f t="shared" si="10"/>
        <v/>
      </c>
      <c r="J110" s="39" t="str">
        <f t="shared" si="11"/>
        <v/>
      </c>
      <c r="K110" s="39"/>
      <c r="L110" s="39" t="str">
        <f t="shared" si="12"/>
        <v/>
      </c>
      <c r="M110" s="39" t="str">
        <f t="shared" si="13"/>
        <v/>
      </c>
      <c r="N110" s="39" t="str">
        <f t="shared" si="14"/>
        <v/>
      </c>
      <c r="O110" s="39" t="str">
        <f t="shared" si="15"/>
        <v/>
      </c>
      <c r="P110" s="39" t="str">
        <f t="shared" si="16"/>
        <v/>
      </c>
      <c r="Q110" s="39"/>
      <c r="R110" s="39"/>
      <c r="S110" s="39"/>
      <c r="X110" t="str">
        <f t="shared" si="17"/>
        <v/>
      </c>
    </row>
    <row r="111" spans="1:24" x14ac:dyDescent="0.2">
      <c r="A111" s="39"/>
      <c r="B111" s="39"/>
      <c r="C111" s="39"/>
      <c r="D111" s="39"/>
      <c r="E111" s="39"/>
      <c r="F111" s="39"/>
      <c r="G111" s="39"/>
      <c r="H111" s="39" t="str">
        <f t="shared" si="9"/>
        <v/>
      </c>
      <c r="I111" s="39" t="str">
        <f t="shared" si="10"/>
        <v/>
      </c>
      <c r="J111" s="39" t="str">
        <f t="shared" si="11"/>
        <v/>
      </c>
      <c r="K111" s="39"/>
      <c r="L111" s="39" t="str">
        <f t="shared" si="12"/>
        <v/>
      </c>
      <c r="M111" s="39" t="str">
        <f t="shared" si="13"/>
        <v/>
      </c>
      <c r="N111" s="39" t="str">
        <f t="shared" si="14"/>
        <v/>
      </c>
      <c r="O111" s="39" t="str">
        <f t="shared" si="15"/>
        <v/>
      </c>
      <c r="P111" s="39" t="str">
        <f t="shared" si="16"/>
        <v/>
      </c>
      <c r="Q111" s="39"/>
      <c r="R111" s="39"/>
      <c r="S111" s="39"/>
      <c r="X111" t="str">
        <f t="shared" si="17"/>
        <v/>
      </c>
    </row>
    <row r="112" spans="1:24" x14ac:dyDescent="0.2">
      <c r="A112" s="39"/>
      <c r="B112" s="39"/>
      <c r="C112" s="39"/>
      <c r="D112" s="39"/>
      <c r="E112" s="39"/>
      <c r="F112" s="39"/>
      <c r="G112" s="39"/>
      <c r="H112" s="39" t="str">
        <f t="shared" si="9"/>
        <v/>
      </c>
      <c r="I112" s="39" t="str">
        <f t="shared" si="10"/>
        <v/>
      </c>
      <c r="J112" s="39" t="str">
        <f t="shared" si="11"/>
        <v/>
      </c>
      <c r="K112" s="39"/>
      <c r="L112" s="39" t="str">
        <f t="shared" si="12"/>
        <v/>
      </c>
      <c r="M112" s="39" t="str">
        <f t="shared" si="13"/>
        <v/>
      </c>
      <c r="N112" s="39" t="str">
        <f t="shared" si="14"/>
        <v/>
      </c>
      <c r="O112" s="39" t="str">
        <f t="shared" si="15"/>
        <v/>
      </c>
      <c r="P112" s="39" t="str">
        <f t="shared" si="16"/>
        <v/>
      </c>
      <c r="Q112" s="39"/>
      <c r="R112" s="39"/>
      <c r="S112" s="39"/>
      <c r="X112" t="str">
        <f t="shared" si="17"/>
        <v/>
      </c>
    </row>
    <row r="113" spans="1:24" x14ac:dyDescent="0.2">
      <c r="A113" s="39"/>
      <c r="B113" s="39"/>
      <c r="C113" s="39"/>
      <c r="D113" s="39"/>
      <c r="E113" s="39"/>
      <c r="F113" s="39"/>
      <c r="G113" s="39"/>
      <c r="H113" s="39" t="str">
        <f t="shared" si="9"/>
        <v/>
      </c>
      <c r="I113" s="39" t="str">
        <f t="shared" si="10"/>
        <v/>
      </c>
      <c r="J113" s="39" t="str">
        <f t="shared" si="11"/>
        <v/>
      </c>
      <c r="K113" s="39"/>
      <c r="L113" s="39" t="str">
        <f t="shared" si="12"/>
        <v/>
      </c>
      <c r="M113" s="39" t="str">
        <f t="shared" si="13"/>
        <v/>
      </c>
      <c r="N113" s="39" t="str">
        <f t="shared" si="14"/>
        <v/>
      </c>
      <c r="O113" s="39" t="str">
        <f t="shared" si="15"/>
        <v/>
      </c>
      <c r="P113" s="39" t="str">
        <f t="shared" si="16"/>
        <v/>
      </c>
      <c r="Q113" s="39"/>
      <c r="R113" s="39"/>
      <c r="S113" s="39"/>
      <c r="X113" t="str">
        <f t="shared" si="17"/>
        <v/>
      </c>
    </row>
    <row r="114" spans="1:24" x14ac:dyDescent="0.2">
      <c r="A114" s="39"/>
      <c r="B114" s="39"/>
      <c r="C114" s="39"/>
      <c r="D114" s="39"/>
      <c r="E114" s="39"/>
      <c r="F114" s="39"/>
      <c r="G114" s="39"/>
      <c r="H114" s="39" t="str">
        <f t="shared" si="9"/>
        <v/>
      </c>
      <c r="I114" s="39" t="str">
        <f t="shared" si="10"/>
        <v/>
      </c>
      <c r="J114" s="39" t="str">
        <f t="shared" si="11"/>
        <v/>
      </c>
      <c r="K114" s="39"/>
      <c r="L114" s="39" t="str">
        <f t="shared" si="12"/>
        <v/>
      </c>
      <c r="M114" s="39" t="str">
        <f t="shared" si="13"/>
        <v/>
      </c>
      <c r="N114" s="39" t="str">
        <f t="shared" si="14"/>
        <v/>
      </c>
      <c r="O114" s="39" t="str">
        <f t="shared" si="15"/>
        <v/>
      </c>
      <c r="P114" s="39" t="str">
        <f t="shared" si="16"/>
        <v/>
      </c>
      <c r="Q114" s="39"/>
      <c r="R114" s="39"/>
      <c r="S114" s="39"/>
      <c r="X114" t="str">
        <f t="shared" si="17"/>
        <v/>
      </c>
    </row>
    <row r="115" spans="1:24" x14ac:dyDescent="0.2">
      <c r="A115" s="39"/>
      <c r="B115" s="39"/>
      <c r="C115" s="39"/>
      <c r="D115" s="39"/>
      <c r="E115" s="39"/>
      <c r="F115" s="39"/>
      <c r="G115" s="39"/>
      <c r="H115" s="39" t="str">
        <f t="shared" si="9"/>
        <v/>
      </c>
      <c r="I115" s="39" t="str">
        <f t="shared" si="10"/>
        <v/>
      </c>
      <c r="J115" s="39" t="str">
        <f t="shared" si="11"/>
        <v/>
      </c>
      <c r="K115" s="39"/>
      <c r="L115" s="39" t="str">
        <f t="shared" si="12"/>
        <v/>
      </c>
      <c r="M115" s="39" t="str">
        <f t="shared" si="13"/>
        <v/>
      </c>
      <c r="N115" s="39" t="str">
        <f t="shared" si="14"/>
        <v/>
      </c>
      <c r="O115" s="39" t="str">
        <f t="shared" si="15"/>
        <v/>
      </c>
      <c r="P115" s="39" t="str">
        <f t="shared" si="16"/>
        <v/>
      </c>
      <c r="Q115" s="39"/>
      <c r="R115" s="39"/>
      <c r="S115" s="39"/>
      <c r="X115" t="str">
        <f t="shared" si="17"/>
        <v/>
      </c>
    </row>
    <row r="116" spans="1:24" x14ac:dyDescent="0.2">
      <c r="A116" s="39"/>
      <c r="B116" s="39"/>
      <c r="C116" s="39"/>
      <c r="D116" s="39"/>
      <c r="E116" s="39"/>
      <c r="F116" s="39"/>
      <c r="G116" s="39"/>
      <c r="H116" s="39" t="str">
        <f t="shared" si="9"/>
        <v/>
      </c>
      <c r="I116" s="39" t="str">
        <f t="shared" si="10"/>
        <v/>
      </c>
      <c r="J116" s="39" t="str">
        <f t="shared" si="11"/>
        <v/>
      </c>
      <c r="K116" s="39"/>
      <c r="L116" s="39" t="str">
        <f t="shared" si="12"/>
        <v/>
      </c>
      <c r="M116" s="39" t="str">
        <f t="shared" si="13"/>
        <v/>
      </c>
      <c r="N116" s="39" t="str">
        <f t="shared" si="14"/>
        <v/>
      </c>
      <c r="O116" s="39" t="str">
        <f t="shared" si="15"/>
        <v/>
      </c>
      <c r="P116" s="39" t="str">
        <f t="shared" si="16"/>
        <v/>
      </c>
      <c r="Q116" s="39"/>
      <c r="R116" s="39"/>
      <c r="S116" s="39"/>
      <c r="X116" t="str">
        <f t="shared" si="17"/>
        <v/>
      </c>
    </row>
    <row r="117" spans="1:24" x14ac:dyDescent="0.2">
      <c r="A117" s="39"/>
      <c r="B117" s="39"/>
      <c r="C117" s="39"/>
      <c r="D117" s="39"/>
      <c r="E117" s="39"/>
      <c r="F117" s="39"/>
      <c r="G117" s="39"/>
      <c r="H117" s="39" t="str">
        <f t="shared" si="9"/>
        <v/>
      </c>
      <c r="I117" s="39" t="str">
        <f t="shared" si="10"/>
        <v/>
      </c>
      <c r="J117" s="39" t="str">
        <f t="shared" si="11"/>
        <v/>
      </c>
      <c r="K117" s="39"/>
      <c r="L117" s="39" t="str">
        <f t="shared" si="12"/>
        <v/>
      </c>
      <c r="M117" s="39" t="str">
        <f t="shared" si="13"/>
        <v/>
      </c>
      <c r="N117" s="39" t="str">
        <f t="shared" si="14"/>
        <v/>
      </c>
      <c r="O117" s="39" t="str">
        <f t="shared" si="15"/>
        <v/>
      </c>
      <c r="P117" s="39" t="str">
        <f t="shared" si="16"/>
        <v/>
      </c>
      <c r="Q117" s="39"/>
      <c r="R117" s="39"/>
      <c r="S117" s="39"/>
      <c r="X117" t="str">
        <f t="shared" si="17"/>
        <v/>
      </c>
    </row>
    <row r="118" spans="1:24" x14ac:dyDescent="0.2">
      <c r="A118" s="39"/>
      <c r="B118" s="39"/>
      <c r="C118" s="39"/>
      <c r="D118" s="39"/>
      <c r="E118" s="39"/>
      <c r="F118" s="39"/>
      <c r="G118" s="39"/>
      <c r="H118" s="39" t="str">
        <f t="shared" si="9"/>
        <v/>
      </c>
      <c r="I118" s="39" t="str">
        <f t="shared" si="10"/>
        <v/>
      </c>
      <c r="J118" s="39" t="str">
        <f t="shared" si="11"/>
        <v/>
      </c>
      <c r="K118" s="39"/>
      <c r="L118" s="39" t="str">
        <f t="shared" si="12"/>
        <v/>
      </c>
      <c r="M118" s="39" t="str">
        <f t="shared" si="13"/>
        <v/>
      </c>
      <c r="N118" s="39" t="str">
        <f t="shared" si="14"/>
        <v/>
      </c>
      <c r="O118" s="39" t="str">
        <f t="shared" si="15"/>
        <v/>
      </c>
      <c r="P118" s="39" t="str">
        <f t="shared" si="16"/>
        <v/>
      </c>
      <c r="Q118" s="39"/>
      <c r="R118" s="39"/>
      <c r="S118" s="39"/>
      <c r="X118" t="str">
        <f t="shared" si="17"/>
        <v/>
      </c>
    </row>
    <row r="119" spans="1:24" x14ac:dyDescent="0.2">
      <c r="A119" s="39"/>
      <c r="B119" s="39"/>
      <c r="C119" s="39"/>
      <c r="D119" s="39"/>
      <c r="E119" s="39"/>
      <c r="F119" s="39"/>
      <c r="G119" s="39"/>
      <c r="H119" s="39" t="str">
        <f t="shared" si="9"/>
        <v/>
      </c>
      <c r="I119" s="39" t="str">
        <f t="shared" si="10"/>
        <v/>
      </c>
      <c r="J119" s="39" t="str">
        <f t="shared" si="11"/>
        <v/>
      </c>
      <c r="K119" s="39"/>
      <c r="L119" s="39" t="str">
        <f t="shared" si="12"/>
        <v/>
      </c>
      <c r="M119" s="39" t="str">
        <f t="shared" si="13"/>
        <v/>
      </c>
      <c r="N119" s="39" t="str">
        <f t="shared" si="14"/>
        <v/>
      </c>
      <c r="O119" s="39" t="str">
        <f t="shared" si="15"/>
        <v/>
      </c>
      <c r="P119" s="39" t="str">
        <f t="shared" si="16"/>
        <v/>
      </c>
      <c r="Q119" s="39"/>
      <c r="R119" s="39"/>
      <c r="S119" s="39"/>
      <c r="X119" t="str">
        <f t="shared" si="17"/>
        <v/>
      </c>
    </row>
    <row r="120" spans="1:24" x14ac:dyDescent="0.2">
      <c r="A120" s="39"/>
      <c r="B120" s="39"/>
      <c r="C120" s="39"/>
      <c r="D120" s="39"/>
      <c r="E120" s="39"/>
      <c r="F120" s="39"/>
      <c r="G120" s="39"/>
      <c r="H120" s="39" t="str">
        <f t="shared" si="9"/>
        <v/>
      </c>
      <c r="I120" s="39" t="str">
        <f t="shared" si="10"/>
        <v/>
      </c>
      <c r="J120" s="39" t="str">
        <f t="shared" si="11"/>
        <v/>
      </c>
      <c r="K120" s="39"/>
      <c r="L120" s="39" t="str">
        <f t="shared" si="12"/>
        <v/>
      </c>
      <c r="M120" s="39" t="str">
        <f t="shared" si="13"/>
        <v/>
      </c>
      <c r="N120" s="39" t="str">
        <f t="shared" si="14"/>
        <v/>
      </c>
      <c r="O120" s="39" t="str">
        <f t="shared" si="15"/>
        <v/>
      </c>
      <c r="P120" s="39" t="str">
        <f t="shared" si="16"/>
        <v/>
      </c>
      <c r="Q120" s="39"/>
      <c r="R120" s="39"/>
      <c r="S120" s="39"/>
      <c r="X120" t="str">
        <f t="shared" si="17"/>
        <v/>
      </c>
    </row>
    <row r="121" spans="1:24" x14ac:dyDescent="0.2">
      <c r="A121" s="39"/>
      <c r="B121" s="39"/>
      <c r="C121" s="39"/>
      <c r="D121" s="39"/>
      <c r="E121" s="39"/>
      <c r="F121" s="39"/>
      <c r="G121" s="39"/>
      <c r="H121" s="39" t="str">
        <f t="shared" si="9"/>
        <v/>
      </c>
      <c r="I121" s="39" t="str">
        <f t="shared" si="10"/>
        <v/>
      </c>
      <c r="J121" s="39" t="str">
        <f t="shared" si="11"/>
        <v/>
      </c>
      <c r="K121" s="39"/>
      <c r="L121" s="39" t="str">
        <f t="shared" si="12"/>
        <v/>
      </c>
      <c r="M121" s="39" t="str">
        <f t="shared" si="13"/>
        <v/>
      </c>
      <c r="N121" s="39" t="str">
        <f t="shared" si="14"/>
        <v/>
      </c>
      <c r="O121" s="39" t="str">
        <f t="shared" si="15"/>
        <v/>
      </c>
      <c r="P121" s="39" t="str">
        <f t="shared" si="16"/>
        <v/>
      </c>
      <c r="Q121" s="39"/>
      <c r="R121" s="39"/>
      <c r="S121" s="39"/>
      <c r="X121" t="str">
        <f t="shared" si="17"/>
        <v/>
      </c>
    </row>
    <row r="122" spans="1:24" x14ac:dyDescent="0.2">
      <c r="A122" s="39"/>
      <c r="B122" s="39"/>
      <c r="C122" s="39"/>
      <c r="D122" s="39"/>
      <c r="E122" s="39"/>
      <c r="F122" s="39"/>
      <c r="G122" s="39"/>
      <c r="H122" s="39" t="str">
        <f t="shared" si="9"/>
        <v/>
      </c>
      <c r="I122" s="39" t="str">
        <f t="shared" si="10"/>
        <v/>
      </c>
      <c r="J122" s="39" t="str">
        <f t="shared" si="11"/>
        <v/>
      </c>
      <c r="K122" s="39"/>
      <c r="L122" s="39" t="str">
        <f t="shared" si="12"/>
        <v/>
      </c>
      <c r="M122" s="39" t="str">
        <f t="shared" si="13"/>
        <v/>
      </c>
      <c r="N122" s="39" t="str">
        <f t="shared" si="14"/>
        <v/>
      </c>
      <c r="O122" s="39" t="str">
        <f t="shared" si="15"/>
        <v/>
      </c>
      <c r="P122" s="39" t="str">
        <f t="shared" si="16"/>
        <v/>
      </c>
      <c r="Q122" s="39"/>
      <c r="R122" s="39"/>
      <c r="S122" s="39"/>
      <c r="X122" t="str">
        <f t="shared" si="17"/>
        <v/>
      </c>
    </row>
    <row r="123" spans="1:24" x14ac:dyDescent="0.2">
      <c r="A123" s="39"/>
      <c r="B123" s="39"/>
      <c r="C123" s="39"/>
      <c r="D123" s="39"/>
      <c r="E123" s="39"/>
      <c r="F123" s="39"/>
      <c r="G123" s="39"/>
      <c r="H123" s="39" t="str">
        <f t="shared" si="9"/>
        <v/>
      </c>
      <c r="I123" s="39" t="str">
        <f t="shared" si="10"/>
        <v/>
      </c>
      <c r="J123" s="39" t="str">
        <f t="shared" si="11"/>
        <v/>
      </c>
      <c r="K123" s="39"/>
      <c r="L123" s="39" t="str">
        <f t="shared" si="12"/>
        <v/>
      </c>
      <c r="M123" s="39" t="str">
        <f t="shared" si="13"/>
        <v/>
      </c>
      <c r="N123" s="39" t="str">
        <f t="shared" si="14"/>
        <v/>
      </c>
      <c r="O123" s="39" t="str">
        <f t="shared" si="15"/>
        <v/>
      </c>
      <c r="P123" s="39" t="str">
        <f t="shared" si="16"/>
        <v/>
      </c>
      <c r="Q123" s="39"/>
      <c r="R123" s="39"/>
      <c r="S123" s="39"/>
      <c r="X123" t="str">
        <f t="shared" si="17"/>
        <v/>
      </c>
    </row>
    <row r="124" spans="1:24" x14ac:dyDescent="0.2">
      <c r="A124" s="39"/>
      <c r="B124" s="39"/>
      <c r="C124" s="39"/>
      <c r="D124" s="39"/>
      <c r="E124" s="39"/>
      <c r="F124" s="39"/>
      <c r="G124" s="39"/>
      <c r="H124" s="39" t="str">
        <f t="shared" si="9"/>
        <v/>
      </c>
      <c r="I124" s="39" t="str">
        <f t="shared" si="10"/>
        <v/>
      </c>
      <c r="J124" s="39" t="str">
        <f t="shared" si="11"/>
        <v/>
      </c>
      <c r="K124" s="39"/>
      <c r="L124" s="39" t="str">
        <f t="shared" si="12"/>
        <v/>
      </c>
      <c r="M124" s="39" t="str">
        <f t="shared" si="13"/>
        <v/>
      </c>
      <c r="N124" s="39" t="str">
        <f t="shared" si="14"/>
        <v/>
      </c>
      <c r="O124" s="39" t="str">
        <f t="shared" si="15"/>
        <v/>
      </c>
      <c r="P124" s="39" t="str">
        <f t="shared" si="16"/>
        <v/>
      </c>
      <c r="Q124" s="39"/>
      <c r="R124" s="39"/>
      <c r="S124" s="39"/>
      <c r="X124" t="str">
        <f t="shared" si="17"/>
        <v/>
      </c>
    </row>
    <row r="125" spans="1:24" x14ac:dyDescent="0.2">
      <c r="A125" s="39"/>
      <c r="B125" s="39"/>
      <c r="C125" s="39"/>
      <c r="D125" s="39"/>
      <c r="E125" s="39"/>
      <c r="F125" s="39"/>
      <c r="G125" s="39"/>
      <c r="H125" s="39" t="str">
        <f t="shared" si="9"/>
        <v/>
      </c>
      <c r="I125" s="39" t="str">
        <f t="shared" si="10"/>
        <v/>
      </c>
      <c r="J125" s="39" t="str">
        <f t="shared" si="11"/>
        <v/>
      </c>
      <c r="K125" s="39"/>
      <c r="L125" s="39" t="str">
        <f t="shared" si="12"/>
        <v/>
      </c>
      <c r="M125" s="39" t="str">
        <f t="shared" si="13"/>
        <v/>
      </c>
      <c r="N125" s="39" t="str">
        <f t="shared" si="14"/>
        <v/>
      </c>
      <c r="O125" s="39" t="str">
        <f t="shared" si="15"/>
        <v/>
      </c>
      <c r="P125" s="39" t="str">
        <f t="shared" si="16"/>
        <v/>
      </c>
      <c r="Q125" s="39"/>
      <c r="R125" s="39"/>
      <c r="S125" s="39"/>
      <c r="X125" t="str">
        <f t="shared" si="17"/>
        <v/>
      </c>
    </row>
    <row r="126" spans="1:24" x14ac:dyDescent="0.2">
      <c r="A126" s="39"/>
      <c r="B126" s="39"/>
      <c r="C126" s="39"/>
      <c r="D126" s="39"/>
      <c r="E126" s="39"/>
      <c r="F126" s="39"/>
      <c r="G126" s="39"/>
      <c r="H126" s="39" t="str">
        <f t="shared" si="9"/>
        <v/>
      </c>
      <c r="I126" s="39" t="str">
        <f t="shared" si="10"/>
        <v/>
      </c>
      <c r="J126" s="39" t="str">
        <f t="shared" si="11"/>
        <v/>
      </c>
      <c r="K126" s="39"/>
      <c r="L126" s="39" t="str">
        <f t="shared" si="12"/>
        <v/>
      </c>
      <c r="M126" s="39" t="str">
        <f t="shared" si="13"/>
        <v/>
      </c>
      <c r="N126" s="39" t="str">
        <f t="shared" si="14"/>
        <v/>
      </c>
      <c r="O126" s="39" t="str">
        <f t="shared" si="15"/>
        <v/>
      </c>
      <c r="P126" s="39" t="str">
        <f t="shared" si="16"/>
        <v/>
      </c>
      <c r="Q126" s="39"/>
      <c r="R126" s="39"/>
      <c r="S126" s="39"/>
      <c r="X126" t="str">
        <f t="shared" si="17"/>
        <v/>
      </c>
    </row>
    <row r="127" spans="1:24" x14ac:dyDescent="0.2">
      <c r="A127" s="39"/>
      <c r="B127" s="39"/>
      <c r="C127" s="39"/>
      <c r="D127" s="39"/>
      <c r="E127" s="39"/>
      <c r="F127" s="39"/>
      <c r="G127" s="39"/>
      <c r="H127" s="39" t="str">
        <f t="shared" si="9"/>
        <v/>
      </c>
      <c r="I127" s="39" t="str">
        <f t="shared" si="10"/>
        <v/>
      </c>
      <c r="J127" s="39" t="str">
        <f t="shared" si="11"/>
        <v/>
      </c>
      <c r="K127" s="39"/>
      <c r="L127" s="39" t="str">
        <f t="shared" si="12"/>
        <v/>
      </c>
      <c r="M127" s="39" t="str">
        <f t="shared" si="13"/>
        <v/>
      </c>
      <c r="N127" s="39" t="str">
        <f t="shared" si="14"/>
        <v/>
      </c>
      <c r="O127" s="39" t="str">
        <f t="shared" si="15"/>
        <v/>
      </c>
      <c r="P127" s="39" t="str">
        <f t="shared" si="16"/>
        <v/>
      </c>
      <c r="Q127" s="39"/>
      <c r="R127" s="39"/>
      <c r="S127" s="39"/>
      <c r="X127" t="str">
        <f t="shared" si="17"/>
        <v/>
      </c>
    </row>
    <row r="128" spans="1:24" x14ac:dyDescent="0.2">
      <c r="A128" s="39"/>
      <c r="B128" s="39"/>
      <c r="C128" s="39"/>
      <c r="D128" s="39"/>
      <c r="E128" s="39"/>
      <c r="F128" s="39"/>
      <c r="G128" s="39"/>
      <c r="H128" s="39" t="str">
        <f t="shared" si="9"/>
        <v/>
      </c>
      <c r="I128" s="39" t="str">
        <f t="shared" si="10"/>
        <v/>
      </c>
      <c r="J128" s="39" t="str">
        <f t="shared" si="11"/>
        <v/>
      </c>
      <c r="K128" s="39"/>
      <c r="L128" s="39" t="str">
        <f t="shared" si="12"/>
        <v/>
      </c>
      <c r="M128" s="39" t="str">
        <f t="shared" si="13"/>
        <v/>
      </c>
      <c r="N128" s="39" t="str">
        <f t="shared" si="14"/>
        <v/>
      </c>
      <c r="O128" s="39" t="str">
        <f t="shared" si="15"/>
        <v/>
      </c>
      <c r="P128" s="39" t="str">
        <f t="shared" si="16"/>
        <v/>
      </c>
      <c r="Q128" s="39"/>
      <c r="R128" s="39"/>
      <c r="S128" s="39"/>
      <c r="X128" t="str">
        <f t="shared" si="17"/>
        <v/>
      </c>
    </row>
    <row r="129" spans="1:24" x14ac:dyDescent="0.2">
      <c r="A129" s="39"/>
      <c r="B129" s="39"/>
      <c r="C129" s="39"/>
      <c r="D129" s="39"/>
      <c r="E129" s="39"/>
      <c r="F129" s="39"/>
      <c r="G129" s="39"/>
      <c r="H129" s="39" t="str">
        <f t="shared" si="9"/>
        <v/>
      </c>
      <c r="I129" s="39" t="str">
        <f t="shared" si="10"/>
        <v/>
      </c>
      <c r="J129" s="39" t="str">
        <f t="shared" si="11"/>
        <v/>
      </c>
      <c r="K129" s="39"/>
      <c r="L129" s="39" t="str">
        <f t="shared" si="12"/>
        <v/>
      </c>
      <c r="M129" s="39" t="str">
        <f t="shared" si="13"/>
        <v/>
      </c>
      <c r="N129" s="39" t="str">
        <f t="shared" si="14"/>
        <v/>
      </c>
      <c r="O129" s="39" t="str">
        <f t="shared" si="15"/>
        <v/>
      </c>
      <c r="P129" s="39" t="str">
        <f t="shared" si="16"/>
        <v/>
      </c>
      <c r="Q129" s="39"/>
      <c r="R129" s="39"/>
      <c r="S129" s="39"/>
      <c r="X129" t="str">
        <f t="shared" si="17"/>
        <v/>
      </c>
    </row>
    <row r="130" spans="1:24" x14ac:dyDescent="0.2">
      <c r="A130" s="39"/>
      <c r="B130" s="39"/>
      <c r="C130" s="39"/>
      <c r="D130" s="39"/>
      <c r="E130" s="39"/>
      <c r="F130" s="39"/>
      <c r="G130" s="39"/>
      <c r="H130" s="39" t="str">
        <f t="shared" si="9"/>
        <v/>
      </c>
      <c r="I130" s="39" t="str">
        <f t="shared" si="10"/>
        <v/>
      </c>
      <c r="J130" s="39" t="str">
        <f t="shared" si="11"/>
        <v/>
      </c>
      <c r="K130" s="39"/>
      <c r="L130" s="39" t="str">
        <f t="shared" si="12"/>
        <v/>
      </c>
      <c r="M130" s="39" t="str">
        <f t="shared" si="13"/>
        <v/>
      </c>
      <c r="N130" s="39" t="str">
        <f t="shared" si="14"/>
        <v/>
      </c>
      <c r="O130" s="39" t="str">
        <f t="shared" si="15"/>
        <v/>
      </c>
      <c r="P130" s="39" t="str">
        <f t="shared" si="16"/>
        <v/>
      </c>
      <c r="Q130" s="39"/>
      <c r="R130" s="39"/>
      <c r="S130" s="39"/>
      <c r="X130" t="str">
        <f t="shared" si="17"/>
        <v/>
      </c>
    </row>
    <row r="131" spans="1:24" x14ac:dyDescent="0.2">
      <c r="A131" s="39"/>
      <c r="B131" s="39"/>
      <c r="C131" s="39"/>
      <c r="D131" s="39"/>
      <c r="E131" s="39"/>
      <c r="F131" s="39"/>
      <c r="G131" s="39"/>
      <c r="H131" s="39" t="str">
        <f t="shared" si="9"/>
        <v/>
      </c>
      <c r="I131" s="39" t="str">
        <f t="shared" si="10"/>
        <v/>
      </c>
      <c r="J131" s="39" t="str">
        <f t="shared" si="11"/>
        <v/>
      </c>
      <c r="K131" s="39"/>
      <c r="L131" s="39" t="str">
        <f t="shared" si="12"/>
        <v/>
      </c>
      <c r="M131" s="39" t="str">
        <f t="shared" si="13"/>
        <v/>
      </c>
      <c r="N131" s="39" t="str">
        <f t="shared" si="14"/>
        <v/>
      </c>
      <c r="O131" s="39" t="str">
        <f t="shared" si="15"/>
        <v/>
      </c>
      <c r="P131" s="39" t="str">
        <f t="shared" si="16"/>
        <v/>
      </c>
      <c r="Q131" s="39"/>
      <c r="R131" s="39"/>
      <c r="S131" s="39"/>
      <c r="X131" t="str">
        <f t="shared" si="17"/>
        <v/>
      </c>
    </row>
    <row r="132" spans="1:24" x14ac:dyDescent="0.2">
      <c r="A132" s="39"/>
      <c r="B132" s="39"/>
      <c r="C132" s="39"/>
      <c r="D132" s="39"/>
      <c r="E132" s="39"/>
      <c r="F132" s="39"/>
      <c r="G132" s="39"/>
      <c r="H132" s="39" t="str">
        <f t="shared" si="9"/>
        <v/>
      </c>
      <c r="I132" s="39" t="str">
        <f t="shared" si="10"/>
        <v/>
      </c>
      <c r="J132" s="39" t="str">
        <f t="shared" si="11"/>
        <v/>
      </c>
      <c r="K132" s="39"/>
      <c r="L132" s="39" t="str">
        <f t="shared" si="12"/>
        <v/>
      </c>
      <c r="M132" s="39" t="str">
        <f t="shared" si="13"/>
        <v/>
      </c>
      <c r="N132" s="39" t="str">
        <f t="shared" si="14"/>
        <v/>
      </c>
      <c r="O132" s="39" t="str">
        <f t="shared" si="15"/>
        <v/>
      </c>
      <c r="P132" s="39" t="str">
        <f t="shared" si="16"/>
        <v/>
      </c>
      <c r="Q132" s="39"/>
      <c r="R132" s="39"/>
      <c r="S132" s="39"/>
      <c r="X132" t="str">
        <f t="shared" si="17"/>
        <v/>
      </c>
    </row>
    <row r="133" spans="1:24" x14ac:dyDescent="0.2">
      <c r="A133" s="39"/>
      <c r="B133" s="39"/>
      <c r="C133" s="39"/>
      <c r="D133" s="39"/>
      <c r="E133" s="39"/>
      <c r="F133" s="39"/>
      <c r="G133" s="39"/>
      <c r="H133" s="39" t="str">
        <f t="shared" ref="H133:H196" si="18">IF($B133="","",IF(E133="","N","Y"))</f>
        <v/>
      </c>
      <c r="I133" s="39" t="str">
        <f t="shared" ref="I133:I196" si="19">IF($B133="","",IF(ISNUMBER(SEARCH("NOIZYANTHROPIC",B133&amp;C133)),"NOIZYANTHROPIC",IF(ISNUMBER(SEARCH("METABEAST",B133&amp;C133)),"METABEAST",IF(ISNUMBER(SEARCH("META",B133&amp;C133)),"METABEAST",IF(ISNUMBER(SEARCH("NOIZYBEAST",B133&amp;C133)),"NOIZYBEAST",IF(ISNUMBER(SEARCH("BEAST",B133&amp;C133)),"NOIZYBEAST",IF(ISNUMBER(SEARCH("NA_",B133&amp;C133)),"NOIZYANTHROPIC",IF(ISNUMBER(SEARCH("NB_",B133&amp;C133)),"NOIZYBEAST",IF(ISNUMBER(SEARCH("MB_",B133&amp;C133)),"METABEAST","—")))))))))</f>
        <v/>
      </c>
      <c r="J133" s="39" t="str">
        <f t="shared" ref="J133:J196" si="20">IF($B133="","",IF(OR(ISNUMBER(SEARCH("NOIZYANTHROPIC",B133&amp;C133)),ISNUMBER(SEARCH("METABEAST",B133&amp;C133)),ISNUMBER(SEARCH("NOIZYBEAST",B133&amp;C133))),"High",IF(I133="—","—","Low")))</f>
        <v/>
      </c>
      <c r="K133" s="39"/>
      <c r="L133" s="39" t="str">
        <f t="shared" ref="L133:L196" si="21">IF($B133="","",IF(OR(ISNUMBER(SEARCH(".wav",B133)),ISNUMBER(SEARCH(".aif",B133)),ISNUMBER(SEARCH(".flac",B133)),ISNUMBER(SEARCH(".mp3",B133)),ISNUMBER(SEARCH(".ogg",B133)),ISNUMBER(SEARCH(".caf",B133))),"Audio",IF(H133="N","Orphan-Review","Data")))</f>
        <v/>
      </c>
      <c r="M133" s="39" t="str">
        <f t="shared" ref="M133:M196" si="22">IF($B133="","",IF(I133="NOIZYANTHROPIC","/Pristine/NOIZYANTHROPIC/",IF(I133="NOIZYBEAST","/Pristine/NOIZYBEAST/",IF(I133="METABEAST","/Pristine/METABEAST/","/Pristine/_UNSORTED/"))))</f>
        <v/>
      </c>
      <c r="N133" s="39" t="str">
        <f t="shared" ref="N133:N196" si="23">IF($B133="","",IF(G133="","",COUNTIF($G$4:$G$1000,G133)))</f>
        <v/>
      </c>
      <c r="O133" s="39" t="str">
        <f t="shared" ref="O133:O196" si="24">IF($B133="","",IF(G133="","",IF(N133&gt;1,"DUP","unique")))</f>
        <v/>
      </c>
      <c r="P133" s="39" t="str">
        <f t="shared" ref="P133:P196" si="25">IF($B133="","",IF(K133="","",COUNTIF($K$4:$K$1000,K133)))</f>
        <v/>
      </c>
      <c r="Q133" s="39"/>
      <c r="R133" s="39"/>
      <c r="S133" s="39"/>
      <c r="X133" t="str">
        <f t="shared" ref="X133:X196" si="26">IF($B133="","",IF($W133="Y","✅ SAFE TO MOVE","🔒 DO NOT DELETE — not 3-2-1"))</f>
        <v/>
      </c>
    </row>
    <row r="134" spans="1:24" x14ac:dyDescent="0.2">
      <c r="A134" s="39"/>
      <c r="B134" s="39"/>
      <c r="C134" s="39"/>
      <c r="D134" s="39"/>
      <c r="E134" s="39"/>
      <c r="F134" s="39"/>
      <c r="G134" s="39"/>
      <c r="H134" s="39" t="str">
        <f t="shared" si="18"/>
        <v/>
      </c>
      <c r="I134" s="39" t="str">
        <f t="shared" si="19"/>
        <v/>
      </c>
      <c r="J134" s="39" t="str">
        <f t="shared" si="20"/>
        <v/>
      </c>
      <c r="K134" s="39"/>
      <c r="L134" s="39" t="str">
        <f t="shared" si="21"/>
        <v/>
      </c>
      <c r="M134" s="39" t="str">
        <f t="shared" si="22"/>
        <v/>
      </c>
      <c r="N134" s="39" t="str">
        <f t="shared" si="23"/>
        <v/>
      </c>
      <c r="O134" s="39" t="str">
        <f t="shared" si="24"/>
        <v/>
      </c>
      <c r="P134" s="39" t="str">
        <f t="shared" si="25"/>
        <v/>
      </c>
      <c r="Q134" s="39"/>
      <c r="R134" s="39"/>
      <c r="S134" s="39"/>
      <c r="X134" t="str">
        <f t="shared" si="26"/>
        <v/>
      </c>
    </row>
    <row r="135" spans="1:24" x14ac:dyDescent="0.2">
      <c r="A135" s="39"/>
      <c r="B135" s="39"/>
      <c r="C135" s="39"/>
      <c r="D135" s="39"/>
      <c r="E135" s="39"/>
      <c r="F135" s="39"/>
      <c r="G135" s="39"/>
      <c r="H135" s="39" t="str">
        <f t="shared" si="18"/>
        <v/>
      </c>
      <c r="I135" s="39" t="str">
        <f t="shared" si="19"/>
        <v/>
      </c>
      <c r="J135" s="39" t="str">
        <f t="shared" si="20"/>
        <v/>
      </c>
      <c r="K135" s="39"/>
      <c r="L135" s="39" t="str">
        <f t="shared" si="21"/>
        <v/>
      </c>
      <c r="M135" s="39" t="str">
        <f t="shared" si="22"/>
        <v/>
      </c>
      <c r="N135" s="39" t="str">
        <f t="shared" si="23"/>
        <v/>
      </c>
      <c r="O135" s="39" t="str">
        <f t="shared" si="24"/>
        <v/>
      </c>
      <c r="P135" s="39" t="str">
        <f t="shared" si="25"/>
        <v/>
      </c>
      <c r="Q135" s="39"/>
      <c r="R135" s="39"/>
      <c r="S135" s="39"/>
      <c r="X135" t="str">
        <f t="shared" si="26"/>
        <v/>
      </c>
    </row>
    <row r="136" spans="1:24" x14ac:dyDescent="0.2">
      <c r="A136" s="39"/>
      <c r="B136" s="39"/>
      <c r="C136" s="39"/>
      <c r="D136" s="39"/>
      <c r="E136" s="39"/>
      <c r="F136" s="39"/>
      <c r="G136" s="39"/>
      <c r="H136" s="39" t="str">
        <f t="shared" si="18"/>
        <v/>
      </c>
      <c r="I136" s="39" t="str">
        <f t="shared" si="19"/>
        <v/>
      </c>
      <c r="J136" s="39" t="str">
        <f t="shared" si="20"/>
        <v/>
      </c>
      <c r="K136" s="39"/>
      <c r="L136" s="39" t="str">
        <f t="shared" si="21"/>
        <v/>
      </c>
      <c r="M136" s="39" t="str">
        <f t="shared" si="22"/>
        <v/>
      </c>
      <c r="N136" s="39" t="str">
        <f t="shared" si="23"/>
        <v/>
      </c>
      <c r="O136" s="39" t="str">
        <f t="shared" si="24"/>
        <v/>
      </c>
      <c r="P136" s="39" t="str">
        <f t="shared" si="25"/>
        <v/>
      </c>
      <c r="Q136" s="39"/>
      <c r="R136" s="39"/>
      <c r="S136" s="39"/>
      <c r="X136" t="str">
        <f t="shared" si="26"/>
        <v/>
      </c>
    </row>
    <row r="137" spans="1:24" x14ac:dyDescent="0.2">
      <c r="A137" s="39"/>
      <c r="B137" s="39"/>
      <c r="C137" s="39"/>
      <c r="D137" s="39"/>
      <c r="E137" s="39"/>
      <c r="F137" s="39"/>
      <c r="G137" s="39"/>
      <c r="H137" s="39" t="str">
        <f t="shared" si="18"/>
        <v/>
      </c>
      <c r="I137" s="39" t="str">
        <f t="shared" si="19"/>
        <v/>
      </c>
      <c r="J137" s="39" t="str">
        <f t="shared" si="20"/>
        <v/>
      </c>
      <c r="K137" s="39"/>
      <c r="L137" s="39" t="str">
        <f t="shared" si="21"/>
        <v/>
      </c>
      <c r="M137" s="39" t="str">
        <f t="shared" si="22"/>
        <v/>
      </c>
      <c r="N137" s="39" t="str">
        <f t="shared" si="23"/>
        <v/>
      </c>
      <c r="O137" s="39" t="str">
        <f t="shared" si="24"/>
        <v/>
      </c>
      <c r="P137" s="39" t="str">
        <f t="shared" si="25"/>
        <v/>
      </c>
      <c r="Q137" s="39"/>
      <c r="R137" s="39"/>
      <c r="S137" s="39"/>
      <c r="X137" t="str">
        <f t="shared" si="26"/>
        <v/>
      </c>
    </row>
    <row r="138" spans="1:24" x14ac:dyDescent="0.2">
      <c r="A138" s="39"/>
      <c r="B138" s="39"/>
      <c r="C138" s="39"/>
      <c r="D138" s="39"/>
      <c r="E138" s="39"/>
      <c r="F138" s="39"/>
      <c r="G138" s="39"/>
      <c r="H138" s="39" t="str">
        <f t="shared" si="18"/>
        <v/>
      </c>
      <c r="I138" s="39" t="str">
        <f t="shared" si="19"/>
        <v/>
      </c>
      <c r="J138" s="39" t="str">
        <f t="shared" si="20"/>
        <v/>
      </c>
      <c r="K138" s="39"/>
      <c r="L138" s="39" t="str">
        <f t="shared" si="21"/>
        <v/>
      </c>
      <c r="M138" s="39" t="str">
        <f t="shared" si="22"/>
        <v/>
      </c>
      <c r="N138" s="39" t="str">
        <f t="shared" si="23"/>
        <v/>
      </c>
      <c r="O138" s="39" t="str">
        <f t="shared" si="24"/>
        <v/>
      </c>
      <c r="P138" s="39" t="str">
        <f t="shared" si="25"/>
        <v/>
      </c>
      <c r="Q138" s="39"/>
      <c r="R138" s="39"/>
      <c r="S138" s="39"/>
      <c r="X138" t="str">
        <f t="shared" si="26"/>
        <v/>
      </c>
    </row>
    <row r="139" spans="1:24" x14ac:dyDescent="0.2">
      <c r="A139" s="39"/>
      <c r="B139" s="39"/>
      <c r="C139" s="39"/>
      <c r="D139" s="39"/>
      <c r="E139" s="39"/>
      <c r="F139" s="39"/>
      <c r="G139" s="39"/>
      <c r="H139" s="39" t="str">
        <f t="shared" si="18"/>
        <v/>
      </c>
      <c r="I139" s="39" t="str">
        <f t="shared" si="19"/>
        <v/>
      </c>
      <c r="J139" s="39" t="str">
        <f t="shared" si="20"/>
        <v/>
      </c>
      <c r="K139" s="39"/>
      <c r="L139" s="39" t="str">
        <f t="shared" si="21"/>
        <v/>
      </c>
      <c r="M139" s="39" t="str">
        <f t="shared" si="22"/>
        <v/>
      </c>
      <c r="N139" s="39" t="str">
        <f t="shared" si="23"/>
        <v/>
      </c>
      <c r="O139" s="39" t="str">
        <f t="shared" si="24"/>
        <v/>
      </c>
      <c r="P139" s="39" t="str">
        <f t="shared" si="25"/>
        <v/>
      </c>
      <c r="Q139" s="39"/>
      <c r="R139" s="39"/>
      <c r="S139" s="39"/>
      <c r="X139" t="str">
        <f t="shared" si="26"/>
        <v/>
      </c>
    </row>
    <row r="140" spans="1:24" x14ac:dyDescent="0.2">
      <c r="A140" s="39"/>
      <c r="B140" s="39"/>
      <c r="C140" s="39"/>
      <c r="D140" s="39"/>
      <c r="E140" s="39"/>
      <c r="F140" s="39"/>
      <c r="G140" s="39"/>
      <c r="H140" s="39" t="str">
        <f t="shared" si="18"/>
        <v/>
      </c>
      <c r="I140" s="39" t="str">
        <f t="shared" si="19"/>
        <v/>
      </c>
      <c r="J140" s="39" t="str">
        <f t="shared" si="20"/>
        <v/>
      </c>
      <c r="K140" s="39"/>
      <c r="L140" s="39" t="str">
        <f t="shared" si="21"/>
        <v/>
      </c>
      <c r="M140" s="39" t="str">
        <f t="shared" si="22"/>
        <v/>
      </c>
      <c r="N140" s="39" t="str">
        <f t="shared" si="23"/>
        <v/>
      </c>
      <c r="O140" s="39" t="str">
        <f t="shared" si="24"/>
        <v/>
      </c>
      <c r="P140" s="39" t="str">
        <f t="shared" si="25"/>
        <v/>
      </c>
      <c r="Q140" s="39"/>
      <c r="R140" s="39"/>
      <c r="S140" s="39"/>
      <c r="X140" t="str">
        <f t="shared" si="26"/>
        <v/>
      </c>
    </row>
    <row r="141" spans="1:24" x14ac:dyDescent="0.2">
      <c r="A141" s="39"/>
      <c r="B141" s="39"/>
      <c r="C141" s="39"/>
      <c r="D141" s="39"/>
      <c r="E141" s="39"/>
      <c r="F141" s="39"/>
      <c r="G141" s="39"/>
      <c r="H141" s="39" t="str">
        <f t="shared" si="18"/>
        <v/>
      </c>
      <c r="I141" s="39" t="str">
        <f t="shared" si="19"/>
        <v/>
      </c>
      <c r="J141" s="39" t="str">
        <f t="shared" si="20"/>
        <v/>
      </c>
      <c r="K141" s="39"/>
      <c r="L141" s="39" t="str">
        <f t="shared" si="21"/>
        <v/>
      </c>
      <c r="M141" s="39" t="str">
        <f t="shared" si="22"/>
        <v/>
      </c>
      <c r="N141" s="39" t="str">
        <f t="shared" si="23"/>
        <v/>
      </c>
      <c r="O141" s="39" t="str">
        <f t="shared" si="24"/>
        <v/>
      </c>
      <c r="P141" s="39" t="str">
        <f t="shared" si="25"/>
        <v/>
      </c>
      <c r="Q141" s="39"/>
      <c r="R141" s="39"/>
      <c r="S141" s="39"/>
      <c r="X141" t="str">
        <f t="shared" si="26"/>
        <v/>
      </c>
    </row>
    <row r="142" spans="1:24" x14ac:dyDescent="0.2">
      <c r="A142" s="39"/>
      <c r="B142" s="39"/>
      <c r="C142" s="39"/>
      <c r="D142" s="39"/>
      <c r="E142" s="39"/>
      <c r="F142" s="39"/>
      <c r="G142" s="39"/>
      <c r="H142" s="39" t="str">
        <f t="shared" si="18"/>
        <v/>
      </c>
      <c r="I142" s="39" t="str">
        <f t="shared" si="19"/>
        <v/>
      </c>
      <c r="J142" s="39" t="str">
        <f t="shared" si="20"/>
        <v/>
      </c>
      <c r="K142" s="39"/>
      <c r="L142" s="39" t="str">
        <f t="shared" si="21"/>
        <v/>
      </c>
      <c r="M142" s="39" t="str">
        <f t="shared" si="22"/>
        <v/>
      </c>
      <c r="N142" s="39" t="str">
        <f t="shared" si="23"/>
        <v/>
      </c>
      <c r="O142" s="39" t="str">
        <f t="shared" si="24"/>
        <v/>
      </c>
      <c r="P142" s="39" t="str">
        <f t="shared" si="25"/>
        <v/>
      </c>
      <c r="Q142" s="39"/>
      <c r="R142" s="39"/>
      <c r="S142" s="39"/>
      <c r="X142" t="str">
        <f t="shared" si="26"/>
        <v/>
      </c>
    </row>
    <row r="143" spans="1:24" x14ac:dyDescent="0.2">
      <c r="A143" s="39"/>
      <c r="B143" s="39"/>
      <c r="C143" s="39"/>
      <c r="D143" s="39"/>
      <c r="E143" s="39"/>
      <c r="F143" s="39"/>
      <c r="G143" s="39"/>
      <c r="H143" s="39" t="str">
        <f t="shared" si="18"/>
        <v/>
      </c>
      <c r="I143" s="39" t="str">
        <f t="shared" si="19"/>
        <v/>
      </c>
      <c r="J143" s="39" t="str">
        <f t="shared" si="20"/>
        <v/>
      </c>
      <c r="K143" s="39"/>
      <c r="L143" s="39" t="str">
        <f t="shared" si="21"/>
        <v/>
      </c>
      <c r="M143" s="39" t="str">
        <f t="shared" si="22"/>
        <v/>
      </c>
      <c r="N143" s="39" t="str">
        <f t="shared" si="23"/>
        <v/>
      </c>
      <c r="O143" s="39" t="str">
        <f t="shared" si="24"/>
        <v/>
      </c>
      <c r="P143" s="39" t="str">
        <f t="shared" si="25"/>
        <v/>
      </c>
      <c r="Q143" s="39"/>
      <c r="R143" s="39"/>
      <c r="S143" s="39"/>
      <c r="X143" t="str">
        <f t="shared" si="26"/>
        <v/>
      </c>
    </row>
    <row r="144" spans="1:24" x14ac:dyDescent="0.2">
      <c r="A144" s="39"/>
      <c r="B144" s="39"/>
      <c r="C144" s="39"/>
      <c r="D144" s="39"/>
      <c r="E144" s="39"/>
      <c r="F144" s="39"/>
      <c r="G144" s="39"/>
      <c r="H144" s="39" t="str">
        <f t="shared" si="18"/>
        <v/>
      </c>
      <c r="I144" s="39" t="str">
        <f t="shared" si="19"/>
        <v/>
      </c>
      <c r="J144" s="39" t="str">
        <f t="shared" si="20"/>
        <v/>
      </c>
      <c r="K144" s="39"/>
      <c r="L144" s="39" t="str">
        <f t="shared" si="21"/>
        <v/>
      </c>
      <c r="M144" s="39" t="str">
        <f t="shared" si="22"/>
        <v/>
      </c>
      <c r="N144" s="39" t="str">
        <f t="shared" si="23"/>
        <v/>
      </c>
      <c r="O144" s="39" t="str">
        <f t="shared" si="24"/>
        <v/>
      </c>
      <c r="P144" s="39" t="str">
        <f t="shared" si="25"/>
        <v/>
      </c>
      <c r="Q144" s="39"/>
      <c r="R144" s="39"/>
      <c r="S144" s="39"/>
      <c r="X144" t="str">
        <f t="shared" si="26"/>
        <v/>
      </c>
    </row>
    <row r="145" spans="1:24" x14ac:dyDescent="0.2">
      <c r="A145" s="39"/>
      <c r="B145" s="39"/>
      <c r="C145" s="39"/>
      <c r="D145" s="39"/>
      <c r="E145" s="39"/>
      <c r="F145" s="39"/>
      <c r="G145" s="39"/>
      <c r="H145" s="39" t="str">
        <f t="shared" si="18"/>
        <v/>
      </c>
      <c r="I145" s="39" t="str">
        <f t="shared" si="19"/>
        <v/>
      </c>
      <c r="J145" s="39" t="str">
        <f t="shared" si="20"/>
        <v/>
      </c>
      <c r="K145" s="39"/>
      <c r="L145" s="39" t="str">
        <f t="shared" si="21"/>
        <v/>
      </c>
      <c r="M145" s="39" t="str">
        <f t="shared" si="22"/>
        <v/>
      </c>
      <c r="N145" s="39" t="str">
        <f t="shared" si="23"/>
        <v/>
      </c>
      <c r="O145" s="39" t="str">
        <f t="shared" si="24"/>
        <v/>
      </c>
      <c r="P145" s="39" t="str">
        <f t="shared" si="25"/>
        <v/>
      </c>
      <c r="Q145" s="39"/>
      <c r="R145" s="39"/>
      <c r="S145" s="39"/>
      <c r="X145" t="str">
        <f t="shared" si="26"/>
        <v/>
      </c>
    </row>
    <row r="146" spans="1:24" x14ac:dyDescent="0.2">
      <c r="A146" s="39"/>
      <c r="B146" s="39"/>
      <c r="C146" s="39"/>
      <c r="D146" s="39"/>
      <c r="E146" s="39"/>
      <c r="F146" s="39"/>
      <c r="G146" s="39"/>
      <c r="H146" s="39" t="str">
        <f t="shared" si="18"/>
        <v/>
      </c>
      <c r="I146" s="39" t="str">
        <f t="shared" si="19"/>
        <v/>
      </c>
      <c r="J146" s="39" t="str">
        <f t="shared" si="20"/>
        <v/>
      </c>
      <c r="K146" s="39"/>
      <c r="L146" s="39" t="str">
        <f t="shared" si="21"/>
        <v/>
      </c>
      <c r="M146" s="39" t="str">
        <f t="shared" si="22"/>
        <v/>
      </c>
      <c r="N146" s="39" t="str">
        <f t="shared" si="23"/>
        <v/>
      </c>
      <c r="O146" s="39" t="str">
        <f t="shared" si="24"/>
        <v/>
      </c>
      <c r="P146" s="39" t="str">
        <f t="shared" si="25"/>
        <v/>
      </c>
      <c r="Q146" s="39"/>
      <c r="R146" s="39"/>
      <c r="S146" s="39"/>
      <c r="X146" t="str">
        <f t="shared" si="26"/>
        <v/>
      </c>
    </row>
    <row r="147" spans="1:24" x14ac:dyDescent="0.2">
      <c r="A147" s="39"/>
      <c r="B147" s="39"/>
      <c r="C147" s="39"/>
      <c r="D147" s="39"/>
      <c r="E147" s="39"/>
      <c r="F147" s="39"/>
      <c r="G147" s="39"/>
      <c r="H147" s="39" t="str">
        <f t="shared" si="18"/>
        <v/>
      </c>
      <c r="I147" s="39" t="str">
        <f t="shared" si="19"/>
        <v/>
      </c>
      <c r="J147" s="39" t="str">
        <f t="shared" si="20"/>
        <v/>
      </c>
      <c r="K147" s="39"/>
      <c r="L147" s="39" t="str">
        <f t="shared" si="21"/>
        <v/>
      </c>
      <c r="M147" s="39" t="str">
        <f t="shared" si="22"/>
        <v/>
      </c>
      <c r="N147" s="39" t="str">
        <f t="shared" si="23"/>
        <v/>
      </c>
      <c r="O147" s="39" t="str">
        <f t="shared" si="24"/>
        <v/>
      </c>
      <c r="P147" s="39" t="str">
        <f t="shared" si="25"/>
        <v/>
      </c>
      <c r="Q147" s="39"/>
      <c r="R147" s="39"/>
      <c r="S147" s="39"/>
      <c r="X147" t="str">
        <f t="shared" si="26"/>
        <v/>
      </c>
    </row>
    <row r="148" spans="1:24" x14ac:dyDescent="0.2">
      <c r="A148" s="39"/>
      <c r="B148" s="39"/>
      <c r="C148" s="39"/>
      <c r="D148" s="39"/>
      <c r="E148" s="39"/>
      <c r="F148" s="39"/>
      <c r="G148" s="39"/>
      <c r="H148" s="39" t="str">
        <f t="shared" si="18"/>
        <v/>
      </c>
      <c r="I148" s="39" t="str">
        <f t="shared" si="19"/>
        <v/>
      </c>
      <c r="J148" s="39" t="str">
        <f t="shared" si="20"/>
        <v/>
      </c>
      <c r="K148" s="39"/>
      <c r="L148" s="39" t="str">
        <f t="shared" si="21"/>
        <v/>
      </c>
      <c r="M148" s="39" t="str">
        <f t="shared" si="22"/>
        <v/>
      </c>
      <c r="N148" s="39" t="str">
        <f t="shared" si="23"/>
        <v/>
      </c>
      <c r="O148" s="39" t="str">
        <f t="shared" si="24"/>
        <v/>
      </c>
      <c r="P148" s="39" t="str">
        <f t="shared" si="25"/>
        <v/>
      </c>
      <c r="Q148" s="39"/>
      <c r="R148" s="39"/>
      <c r="S148" s="39"/>
      <c r="X148" t="str">
        <f t="shared" si="26"/>
        <v/>
      </c>
    </row>
    <row r="149" spans="1:24" x14ac:dyDescent="0.2">
      <c r="A149" s="39"/>
      <c r="B149" s="39"/>
      <c r="C149" s="39"/>
      <c r="D149" s="39"/>
      <c r="E149" s="39"/>
      <c r="F149" s="39"/>
      <c r="G149" s="39"/>
      <c r="H149" s="39" t="str">
        <f t="shared" si="18"/>
        <v/>
      </c>
      <c r="I149" s="39" t="str">
        <f t="shared" si="19"/>
        <v/>
      </c>
      <c r="J149" s="39" t="str">
        <f t="shared" si="20"/>
        <v/>
      </c>
      <c r="K149" s="39"/>
      <c r="L149" s="39" t="str">
        <f t="shared" si="21"/>
        <v/>
      </c>
      <c r="M149" s="39" t="str">
        <f t="shared" si="22"/>
        <v/>
      </c>
      <c r="N149" s="39" t="str">
        <f t="shared" si="23"/>
        <v/>
      </c>
      <c r="O149" s="39" t="str">
        <f t="shared" si="24"/>
        <v/>
      </c>
      <c r="P149" s="39" t="str">
        <f t="shared" si="25"/>
        <v/>
      </c>
      <c r="Q149" s="39"/>
      <c r="R149" s="39"/>
      <c r="S149" s="39"/>
      <c r="X149" t="str">
        <f t="shared" si="26"/>
        <v/>
      </c>
    </row>
    <row r="150" spans="1:24" x14ac:dyDescent="0.2">
      <c r="A150" s="39"/>
      <c r="B150" s="39"/>
      <c r="C150" s="39"/>
      <c r="D150" s="39"/>
      <c r="E150" s="39"/>
      <c r="F150" s="39"/>
      <c r="G150" s="39"/>
      <c r="H150" s="39" t="str">
        <f t="shared" si="18"/>
        <v/>
      </c>
      <c r="I150" s="39" t="str">
        <f t="shared" si="19"/>
        <v/>
      </c>
      <c r="J150" s="39" t="str">
        <f t="shared" si="20"/>
        <v/>
      </c>
      <c r="K150" s="39"/>
      <c r="L150" s="39" t="str">
        <f t="shared" si="21"/>
        <v/>
      </c>
      <c r="M150" s="39" t="str">
        <f t="shared" si="22"/>
        <v/>
      </c>
      <c r="N150" s="39" t="str">
        <f t="shared" si="23"/>
        <v/>
      </c>
      <c r="O150" s="39" t="str">
        <f t="shared" si="24"/>
        <v/>
      </c>
      <c r="P150" s="39" t="str">
        <f t="shared" si="25"/>
        <v/>
      </c>
      <c r="Q150" s="39"/>
      <c r="R150" s="39"/>
      <c r="S150" s="39"/>
      <c r="X150" t="str">
        <f t="shared" si="26"/>
        <v/>
      </c>
    </row>
    <row r="151" spans="1:24" x14ac:dyDescent="0.2">
      <c r="A151" s="39"/>
      <c r="B151" s="39"/>
      <c r="C151" s="39"/>
      <c r="D151" s="39"/>
      <c r="E151" s="39"/>
      <c r="F151" s="39"/>
      <c r="G151" s="39"/>
      <c r="H151" s="39" t="str">
        <f t="shared" si="18"/>
        <v/>
      </c>
      <c r="I151" s="39" t="str">
        <f t="shared" si="19"/>
        <v/>
      </c>
      <c r="J151" s="39" t="str">
        <f t="shared" si="20"/>
        <v/>
      </c>
      <c r="K151" s="39"/>
      <c r="L151" s="39" t="str">
        <f t="shared" si="21"/>
        <v/>
      </c>
      <c r="M151" s="39" t="str">
        <f t="shared" si="22"/>
        <v/>
      </c>
      <c r="N151" s="39" t="str">
        <f t="shared" si="23"/>
        <v/>
      </c>
      <c r="O151" s="39" t="str">
        <f t="shared" si="24"/>
        <v/>
      </c>
      <c r="P151" s="39" t="str">
        <f t="shared" si="25"/>
        <v/>
      </c>
      <c r="Q151" s="39"/>
      <c r="R151" s="39"/>
      <c r="S151" s="39"/>
      <c r="X151" t="str">
        <f t="shared" si="26"/>
        <v/>
      </c>
    </row>
    <row r="152" spans="1:24" x14ac:dyDescent="0.2">
      <c r="A152" s="39"/>
      <c r="B152" s="39"/>
      <c r="C152" s="39"/>
      <c r="D152" s="39"/>
      <c r="E152" s="39"/>
      <c r="F152" s="39"/>
      <c r="G152" s="39"/>
      <c r="H152" s="39" t="str">
        <f t="shared" si="18"/>
        <v/>
      </c>
      <c r="I152" s="39" t="str">
        <f t="shared" si="19"/>
        <v/>
      </c>
      <c r="J152" s="39" t="str">
        <f t="shared" si="20"/>
        <v/>
      </c>
      <c r="K152" s="39"/>
      <c r="L152" s="39" t="str">
        <f t="shared" si="21"/>
        <v/>
      </c>
      <c r="M152" s="39" t="str">
        <f t="shared" si="22"/>
        <v/>
      </c>
      <c r="N152" s="39" t="str">
        <f t="shared" si="23"/>
        <v/>
      </c>
      <c r="O152" s="39" t="str">
        <f t="shared" si="24"/>
        <v/>
      </c>
      <c r="P152" s="39" t="str">
        <f t="shared" si="25"/>
        <v/>
      </c>
      <c r="Q152" s="39"/>
      <c r="R152" s="39"/>
      <c r="S152" s="39"/>
      <c r="X152" t="str">
        <f t="shared" si="26"/>
        <v/>
      </c>
    </row>
    <row r="153" spans="1:24" x14ac:dyDescent="0.2">
      <c r="A153" s="39"/>
      <c r="B153" s="39"/>
      <c r="C153" s="39"/>
      <c r="D153" s="39"/>
      <c r="E153" s="39"/>
      <c r="F153" s="39"/>
      <c r="G153" s="39"/>
      <c r="H153" s="39" t="str">
        <f t="shared" si="18"/>
        <v/>
      </c>
      <c r="I153" s="39" t="str">
        <f t="shared" si="19"/>
        <v/>
      </c>
      <c r="J153" s="39" t="str">
        <f t="shared" si="20"/>
        <v/>
      </c>
      <c r="K153" s="39"/>
      <c r="L153" s="39" t="str">
        <f t="shared" si="21"/>
        <v/>
      </c>
      <c r="M153" s="39" t="str">
        <f t="shared" si="22"/>
        <v/>
      </c>
      <c r="N153" s="39" t="str">
        <f t="shared" si="23"/>
        <v/>
      </c>
      <c r="O153" s="39" t="str">
        <f t="shared" si="24"/>
        <v/>
      </c>
      <c r="P153" s="39" t="str">
        <f t="shared" si="25"/>
        <v/>
      </c>
      <c r="Q153" s="39"/>
      <c r="R153" s="39"/>
      <c r="S153" s="39"/>
      <c r="X153" t="str">
        <f t="shared" si="26"/>
        <v/>
      </c>
    </row>
    <row r="154" spans="1:24" x14ac:dyDescent="0.2">
      <c r="A154" s="39"/>
      <c r="B154" s="39"/>
      <c r="C154" s="39"/>
      <c r="D154" s="39"/>
      <c r="E154" s="39"/>
      <c r="F154" s="39"/>
      <c r="G154" s="39"/>
      <c r="H154" s="39" t="str">
        <f t="shared" si="18"/>
        <v/>
      </c>
      <c r="I154" s="39" t="str">
        <f t="shared" si="19"/>
        <v/>
      </c>
      <c r="J154" s="39" t="str">
        <f t="shared" si="20"/>
        <v/>
      </c>
      <c r="K154" s="39"/>
      <c r="L154" s="39" t="str">
        <f t="shared" si="21"/>
        <v/>
      </c>
      <c r="M154" s="39" t="str">
        <f t="shared" si="22"/>
        <v/>
      </c>
      <c r="N154" s="39" t="str">
        <f t="shared" si="23"/>
        <v/>
      </c>
      <c r="O154" s="39" t="str">
        <f t="shared" si="24"/>
        <v/>
      </c>
      <c r="P154" s="39" t="str">
        <f t="shared" si="25"/>
        <v/>
      </c>
      <c r="Q154" s="39"/>
      <c r="R154" s="39"/>
      <c r="S154" s="39"/>
      <c r="X154" t="str">
        <f t="shared" si="26"/>
        <v/>
      </c>
    </row>
    <row r="155" spans="1:24" x14ac:dyDescent="0.2">
      <c r="A155" s="39"/>
      <c r="B155" s="39"/>
      <c r="C155" s="39"/>
      <c r="D155" s="39"/>
      <c r="E155" s="39"/>
      <c r="F155" s="39"/>
      <c r="G155" s="39"/>
      <c r="H155" s="39" t="str">
        <f t="shared" si="18"/>
        <v/>
      </c>
      <c r="I155" s="39" t="str">
        <f t="shared" si="19"/>
        <v/>
      </c>
      <c r="J155" s="39" t="str">
        <f t="shared" si="20"/>
        <v/>
      </c>
      <c r="K155" s="39"/>
      <c r="L155" s="39" t="str">
        <f t="shared" si="21"/>
        <v/>
      </c>
      <c r="M155" s="39" t="str">
        <f t="shared" si="22"/>
        <v/>
      </c>
      <c r="N155" s="39" t="str">
        <f t="shared" si="23"/>
        <v/>
      </c>
      <c r="O155" s="39" t="str">
        <f t="shared" si="24"/>
        <v/>
      </c>
      <c r="P155" s="39" t="str">
        <f t="shared" si="25"/>
        <v/>
      </c>
      <c r="Q155" s="39"/>
      <c r="R155" s="39"/>
      <c r="S155" s="39"/>
      <c r="X155" t="str">
        <f t="shared" si="26"/>
        <v/>
      </c>
    </row>
    <row r="156" spans="1:24" x14ac:dyDescent="0.2">
      <c r="A156" s="39"/>
      <c r="B156" s="39"/>
      <c r="C156" s="39"/>
      <c r="D156" s="39"/>
      <c r="E156" s="39"/>
      <c r="F156" s="39"/>
      <c r="G156" s="39"/>
      <c r="H156" s="39" t="str">
        <f t="shared" si="18"/>
        <v/>
      </c>
      <c r="I156" s="39" t="str">
        <f t="shared" si="19"/>
        <v/>
      </c>
      <c r="J156" s="39" t="str">
        <f t="shared" si="20"/>
        <v/>
      </c>
      <c r="K156" s="39"/>
      <c r="L156" s="39" t="str">
        <f t="shared" si="21"/>
        <v/>
      </c>
      <c r="M156" s="39" t="str">
        <f t="shared" si="22"/>
        <v/>
      </c>
      <c r="N156" s="39" t="str">
        <f t="shared" si="23"/>
        <v/>
      </c>
      <c r="O156" s="39" t="str">
        <f t="shared" si="24"/>
        <v/>
      </c>
      <c r="P156" s="39" t="str">
        <f t="shared" si="25"/>
        <v/>
      </c>
      <c r="Q156" s="39"/>
      <c r="R156" s="39"/>
      <c r="S156" s="39"/>
      <c r="X156" t="str">
        <f t="shared" si="26"/>
        <v/>
      </c>
    </row>
    <row r="157" spans="1:24" x14ac:dyDescent="0.2">
      <c r="A157" s="39"/>
      <c r="B157" s="39"/>
      <c r="C157" s="39"/>
      <c r="D157" s="39"/>
      <c r="E157" s="39"/>
      <c r="F157" s="39"/>
      <c r="G157" s="39"/>
      <c r="H157" s="39" t="str">
        <f t="shared" si="18"/>
        <v/>
      </c>
      <c r="I157" s="39" t="str">
        <f t="shared" si="19"/>
        <v/>
      </c>
      <c r="J157" s="39" t="str">
        <f t="shared" si="20"/>
        <v/>
      </c>
      <c r="K157" s="39"/>
      <c r="L157" s="39" t="str">
        <f t="shared" si="21"/>
        <v/>
      </c>
      <c r="M157" s="39" t="str">
        <f t="shared" si="22"/>
        <v/>
      </c>
      <c r="N157" s="39" t="str">
        <f t="shared" si="23"/>
        <v/>
      </c>
      <c r="O157" s="39" t="str">
        <f t="shared" si="24"/>
        <v/>
      </c>
      <c r="P157" s="39" t="str">
        <f t="shared" si="25"/>
        <v/>
      </c>
      <c r="Q157" s="39"/>
      <c r="R157" s="39"/>
      <c r="S157" s="39"/>
      <c r="X157" t="str">
        <f t="shared" si="26"/>
        <v/>
      </c>
    </row>
    <row r="158" spans="1:24" x14ac:dyDescent="0.2">
      <c r="A158" s="39"/>
      <c r="B158" s="39"/>
      <c r="C158" s="39"/>
      <c r="D158" s="39"/>
      <c r="E158" s="39"/>
      <c r="F158" s="39"/>
      <c r="G158" s="39"/>
      <c r="H158" s="39" t="str">
        <f t="shared" si="18"/>
        <v/>
      </c>
      <c r="I158" s="39" t="str">
        <f t="shared" si="19"/>
        <v/>
      </c>
      <c r="J158" s="39" t="str">
        <f t="shared" si="20"/>
        <v/>
      </c>
      <c r="K158" s="39"/>
      <c r="L158" s="39" t="str">
        <f t="shared" si="21"/>
        <v/>
      </c>
      <c r="M158" s="39" t="str">
        <f t="shared" si="22"/>
        <v/>
      </c>
      <c r="N158" s="39" t="str">
        <f t="shared" si="23"/>
        <v/>
      </c>
      <c r="O158" s="39" t="str">
        <f t="shared" si="24"/>
        <v/>
      </c>
      <c r="P158" s="39" t="str">
        <f t="shared" si="25"/>
        <v/>
      </c>
      <c r="Q158" s="39"/>
      <c r="R158" s="39"/>
      <c r="S158" s="39"/>
      <c r="X158" t="str">
        <f t="shared" si="26"/>
        <v/>
      </c>
    </row>
    <row r="159" spans="1:24" x14ac:dyDescent="0.2">
      <c r="A159" s="39"/>
      <c r="B159" s="39"/>
      <c r="C159" s="39"/>
      <c r="D159" s="39"/>
      <c r="E159" s="39"/>
      <c r="F159" s="39"/>
      <c r="G159" s="39"/>
      <c r="H159" s="39" t="str">
        <f t="shared" si="18"/>
        <v/>
      </c>
      <c r="I159" s="39" t="str">
        <f t="shared" si="19"/>
        <v/>
      </c>
      <c r="J159" s="39" t="str">
        <f t="shared" si="20"/>
        <v/>
      </c>
      <c r="K159" s="39"/>
      <c r="L159" s="39" t="str">
        <f t="shared" si="21"/>
        <v/>
      </c>
      <c r="M159" s="39" t="str">
        <f t="shared" si="22"/>
        <v/>
      </c>
      <c r="N159" s="39" t="str">
        <f t="shared" si="23"/>
        <v/>
      </c>
      <c r="O159" s="39" t="str">
        <f t="shared" si="24"/>
        <v/>
      </c>
      <c r="P159" s="39" t="str">
        <f t="shared" si="25"/>
        <v/>
      </c>
      <c r="Q159" s="39"/>
      <c r="R159" s="39"/>
      <c r="S159" s="39"/>
      <c r="X159" t="str">
        <f t="shared" si="26"/>
        <v/>
      </c>
    </row>
    <row r="160" spans="1:24" x14ac:dyDescent="0.2">
      <c r="A160" s="39"/>
      <c r="B160" s="39"/>
      <c r="C160" s="39"/>
      <c r="D160" s="39"/>
      <c r="E160" s="39"/>
      <c r="F160" s="39"/>
      <c r="G160" s="39"/>
      <c r="H160" s="39" t="str">
        <f t="shared" si="18"/>
        <v/>
      </c>
      <c r="I160" s="39" t="str">
        <f t="shared" si="19"/>
        <v/>
      </c>
      <c r="J160" s="39" t="str">
        <f t="shared" si="20"/>
        <v/>
      </c>
      <c r="K160" s="39"/>
      <c r="L160" s="39" t="str">
        <f t="shared" si="21"/>
        <v/>
      </c>
      <c r="M160" s="39" t="str">
        <f t="shared" si="22"/>
        <v/>
      </c>
      <c r="N160" s="39" t="str">
        <f t="shared" si="23"/>
        <v/>
      </c>
      <c r="O160" s="39" t="str">
        <f t="shared" si="24"/>
        <v/>
      </c>
      <c r="P160" s="39" t="str">
        <f t="shared" si="25"/>
        <v/>
      </c>
      <c r="Q160" s="39"/>
      <c r="R160" s="39"/>
      <c r="S160" s="39"/>
      <c r="X160" t="str">
        <f t="shared" si="26"/>
        <v/>
      </c>
    </row>
    <row r="161" spans="1:24" x14ac:dyDescent="0.2">
      <c r="A161" s="39"/>
      <c r="B161" s="39"/>
      <c r="C161" s="39"/>
      <c r="D161" s="39"/>
      <c r="E161" s="39"/>
      <c r="F161" s="39"/>
      <c r="G161" s="39"/>
      <c r="H161" s="39" t="str">
        <f t="shared" si="18"/>
        <v/>
      </c>
      <c r="I161" s="39" t="str">
        <f t="shared" si="19"/>
        <v/>
      </c>
      <c r="J161" s="39" t="str">
        <f t="shared" si="20"/>
        <v/>
      </c>
      <c r="K161" s="39"/>
      <c r="L161" s="39" t="str">
        <f t="shared" si="21"/>
        <v/>
      </c>
      <c r="M161" s="39" t="str">
        <f t="shared" si="22"/>
        <v/>
      </c>
      <c r="N161" s="39" t="str">
        <f t="shared" si="23"/>
        <v/>
      </c>
      <c r="O161" s="39" t="str">
        <f t="shared" si="24"/>
        <v/>
      </c>
      <c r="P161" s="39" t="str">
        <f t="shared" si="25"/>
        <v/>
      </c>
      <c r="Q161" s="39"/>
      <c r="R161" s="39"/>
      <c r="S161" s="39"/>
      <c r="X161" t="str">
        <f t="shared" si="26"/>
        <v/>
      </c>
    </row>
    <row r="162" spans="1:24" x14ac:dyDescent="0.2">
      <c r="A162" s="39"/>
      <c r="B162" s="39"/>
      <c r="C162" s="39"/>
      <c r="D162" s="39"/>
      <c r="E162" s="39"/>
      <c r="F162" s="39"/>
      <c r="G162" s="39"/>
      <c r="H162" s="39" t="str">
        <f t="shared" si="18"/>
        <v/>
      </c>
      <c r="I162" s="39" t="str">
        <f t="shared" si="19"/>
        <v/>
      </c>
      <c r="J162" s="39" t="str">
        <f t="shared" si="20"/>
        <v/>
      </c>
      <c r="K162" s="39"/>
      <c r="L162" s="39" t="str">
        <f t="shared" si="21"/>
        <v/>
      </c>
      <c r="M162" s="39" t="str">
        <f t="shared" si="22"/>
        <v/>
      </c>
      <c r="N162" s="39" t="str">
        <f t="shared" si="23"/>
        <v/>
      </c>
      <c r="O162" s="39" t="str">
        <f t="shared" si="24"/>
        <v/>
      </c>
      <c r="P162" s="39" t="str">
        <f t="shared" si="25"/>
        <v/>
      </c>
      <c r="Q162" s="39"/>
      <c r="R162" s="39"/>
      <c r="S162" s="39"/>
      <c r="X162" t="str">
        <f t="shared" si="26"/>
        <v/>
      </c>
    </row>
    <row r="163" spans="1:24" x14ac:dyDescent="0.2">
      <c r="A163" s="39"/>
      <c r="B163" s="39"/>
      <c r="C163" s="39"/>
      <c r="D163" s="39"/>
      <c r="E163" s="39"/>
      <c r="F163" s="39"/>
      <c r="G163" s="39"/>
      <c r="H163" s="39" t="str">
        <f t="shared" si="18"/>
        <v/>
      </c>
      <c r="I163" s="39" t="str">
        <f t="shared" si="19"/>
        <v/>
      </c>
      <c r="J163" s="39" t="str">
        <f t="shared" si="20"/>
        <v/>
      </c>
      <c r="K163" s="39"/>
      <c r="L163" s="39" t="str">
        <f t="shared" si="21"/>
        <v/>
      </c>
      <c r="M163" s="39" t="str">
        <f t="shared" si="22"/>
        <v/>
      </c>
      <c r="N163" s="39" t="str">
        <f t="shared" si="23"/>
        <v/>
      </c>
      <c r="O163" s="39" t="str">
        <f t="shared" si="24"/>
        <v/>
      </c>
      <c r="P163" s="39" t="str">
        <f t="shared" si="25"/>
        <v/>
      </c>
      <c r="Q163" s="39"/>
      <c r="R163" s="39"/>
      <c r="S163" s="39"/>
      <c r="X163" t="str">
        <f t="shared" si="26"/>
        <v/>
      </c>
    </row>
    <row r="164" spans="1:24" x14ac:dyDescent="0.2">
      <c r="A164" s="39"/>
      <c r="B164" s="39"/>
      <c r="C164" s="39"/>
      <c r="D164" s="39"/>
      <c r="E164" s="39"/>
      <c r="F164" s="39"/>
      <c r="G164" s="39"/>
      <c r="H164" s="39" t="str">
        <f t="shared" si="18"/>
        <v/>
      </c>
      <c r="I164" s="39" t="str">
        <f t="shared" si="19"/>
        <v/>
      </c>
      <c r="J164" s="39" t="str">
        <f t="shared" si="20"/>
        <v/>
      </c>
      <c r="K164" s="39"/>
      <c r="L164" s="39" t="str">
        <f t="shared" si="21"/>
        <v/>
      </c>
      <c r="M164" s="39" t="str">
        <f t="shared" si="22"/>
        <v/>
      </c>
      <c r="N164" s="39" t="str">
        <f t="shared" si="23"/>
        <v/>
      </c>
      <c r="O164" s="39" t="str">
        <f t="shared" si="24"/>
        <v/>
      </c>
      <c r="P164" s="39" t="str">
        <f t="shared" si="25"/>
        <v/>
      </c>
      <c r="Q164" s="39"/>
      <c r="R164" s="39"/>
      <c r="S164" s="39"/>
      <c r="X164" t="str">
        <f t="shared" si="26"/>
        <v/>
      </c>
    </row>
    <row r="165" spans="1:24" x14ac:dyDescent="0.2">
      <c r="A165" s="39"/>
      <c r="B165" s="39"/>
      <c r="C165" s="39"/>
      <c r="D165" s="39"/>
      <c r="E165" s="39"/>
      <c r="F165" s="39"/>
      <c r="G165" s="39"/>
      <c r="H165" s="39" t="str">
        <f t="shared" si="18"/>
        <v/>
      </c>
      <c r="I165" s="39" t="str">
        <f t="shared" si="19"/>
        <v/>
      </c>
      <c r="J165" s="39" t="str">
        <f t="shared" si="20"/>
        <v/>
      </c>
      <c r="K165" s="39"/>
      <c r="L165" s="39" t="str">
        <f t="shared" si="21"/>
        <v/>
      </c>
      <c r="M165" s="39" t="str">
        <f t="shared" si="22"/>
        <v/>
      </c>
      <c r="N165" s="39" t="str">
        <f t="shared" si="23"/>
        <v/>
      </c>
      <c r="O165" s="39" t="str">
        <f t="shared" si="24"/>
        <v/>
      </c>
      <c r="P165" s="39" t="str">
        <f t="shared" si="25"/>
        <v/>
      </c>
      <c r="Q165" s="39"/>
      <c r="R165" s="39"/>
      <c r="S165" s="39"/>
      <c r="X165" t="str">
        <f t="shared" si="26"/>
        <v/>
      </c>
    </row>
    <row r="166" spans="1:24" x14ac:dyDescent="0.2">
      <c r="A166" s="39"/>
      <c r="B166" s="39"/>
      <c r="C166" s="39"/>
      <c r="D166" s="39"/>
      <c r="E166" s="39"/>
      <c r="F166" s="39"/>
      <c r="G166" s="39"/>
      <c r="H166" s="39" t="str">
        <f t="shared" si="18"/>
        <v/>
      </c>
      <c r="I166" s="39" t="str">
        <f t="shared" si="19"/>
        <v/>
      </c>
      <c r="J166" s="39" t="str">
        <f t="shared" si="20"/>
        <v/>
      </c>
      <c r="K166" s="39"/>
      <c r="L166" s="39" t="str">
        <f t="shared" si="21"/>
        <v/>
      </c>
      <c r="M166" s="39" t="str">
        <f t="shared" si="22"/>
        <v/>
      </c>
      <c r="N166" s="39" t="str">
        <f t="shared" si="23"/>
        <v/>
      </c>
      <c r="O166" s="39" t="str">
        <f t="shared" si="24"/>
        <v/>
      </c>
      <c r="P166" s="39" t="str">
        <f t="shared" si="25"/>
        <v/>
      </c>
      <c r="Q166" s="39"/>
      <c r="R166" s="39"/>
      <c r="S166" s="39"/>
      <c r="X166" t="str">
        <f t="shared" si="26"/>
        <v/>
      </c>
    </row>
    <row r="167" spans="1:24" x14ac:dyDescent="0.2">
      <c r="A167" s="39"/>
      <c r="B167" s="39"/>
      <c r="C167" s="39"/>
      <c r="D167" s="39"/>
      <c r="E167" s="39"/>
      <c r="F167" s="39"/>
      <c r="G167" s="39"/>
      <c r="H167" s="39" t="str">
        <f t="shared" si="18"/>
        <v/>
      </c>
      <c r="I167" s="39" t="str">
        <f t="shared" si="19"/>
        <v/>
      </c>
      <c r="J167" s="39" t="str">
        <f t="shared" si="20"/>
        <v/>
      </c>
      <c r="K167" s="39"/>
      <c r="L167" s="39" t="str">
        <f t="shared" si="21"/>
        <v/>
      </c>
      <c r="M167" s="39" t="str">
        <f t="shared" si="22"/>
        <v/>
      </c>
      <c r="N167" s="39" t="str">
        <f t="shared" si="23"/>
        <v/>
      </c>
      <c r="O167" s="39" t="str">
        <f t="shared" si="24"/>
        <v/>
      </c>
      <c r="P167" s="39" t="str">
        <f t="shared" si="25"/>
        <v/>
      </c>
      <c r="Q167" s="39"/>
      <c r="R167" s="39"/>
      <c r="S167" s="39"/>
      <c r="X167" t="str">
        <f t="shared" si="26"/>
        <v/>
      </c>
    </row>
    <row r="168" spans="1:24" x14ac:dyDescent="0.2">
      <c r="A168" s="39"/>
      <c r="B168" s="39"/>
      <c r="C168" s="39"/>
      <c r="D168" s="39"/>
      <c r="E168" s="39"/>
      <c r="F168" s="39"/>
      <c r="G168" s="39"/>
      <c r="H168" s="39" t="str">
        <f t="shared" si="18"/>
        <v/>
      </c>
      <c r="I168" s="39" t="str">
        <f t="shared" si="19"/>
        <v/>
      </c>
      <c r="J168" s="39" t="str">
        <f t="shared" si="20"/>
        <v/>
      </c>
      <c r="K168" s="39"/>
      <c r="L168" s="39" t="str">
        <f t="shared" si="21"/>
        <v/>
      </c>
      <c r="M168" s="39" t="str">
        <f t="shared" si="22"/>
        <v/>
      </c>
      <c r="N168" s="39" t="str">
        <f t="shared" si="23"/>
        <v/>
      </c>
      <c r="O168" s="39" t="str">
        <f t="shared" si="24"/>
        <v/>
      </c>
      <c r="P168" s="39" t="str">
        <f t="shared" si="25"/>
        <v/>
      </c>
      <c r="Q168" s="39"/>
      <c r="R168" s="39"/>
      <c r="S168" s="39"/>
      <c r="X168" t="str">
        <f t="shared" si="26"/>
        <v/>
      </c>
    </row>
    <row r="169" spans="1:24" x14ac:dyDescent="0.2">
      <c r="A169" s="39"/>
      <c r="B169" s="39"/>
      <c r="C169" s="39"/>
      <c r="D169" s="39"/>
      <c r="E169" s="39"/>
      <c r="F169" s="39"/>
      <c r="G169" s="39"/>
      <c r="H169" s="39" t="str">
        <f t="shared" si="18"/>
        <v/>
      </c>
      <c r="I169" s="39" t="str">
        <f t="shared" si="19"/>
        <v/>
      </c>
      <c r="J169" s="39" t="str">
        <f t="shared" si="20"/>
        <v/>
      </c>
      <c r="K169" s="39"/>
      <c r="L169" s="39" t="str">
        <f t="shared" si="21"/>
        <v/>
      </c>
      <c r="M169" s="39" t="str">
        <f t="shared" si="22"/>
        <v/>
      </c>
      <c r="N169" s="39" t="str">
        <f t="shared" si="23"/>
        <v/>
      </c>
      <c r="O169" s="39" t="str">
        <f t="shared" si="24"/>
        <v/>
      </c>
      <c r="P169" s="39" t="str">
        <f t="shared" si="25"/>
        <v/>
      </c>
      <c r="Q169" s="39"/>
      <c r="R169" s="39"/>
      <c r="S169" s="39"/>
      <c r="X169" t="str">
        <f t="shared" si="26"/>
        <v/>
      </c>
    </row>
    <row r="170" spans="1:24" x14ac:dyDescent="0.2">
      <c r="A170" s="39"/>
      <c r="B170" s="39"/>
      <c r="C170" s="39"/>
      <c r="D170" s="39"/>
      <c r="E170" s="39"/>
      <c r="F170" s="39"/>
      <c r="G170" s="39"/>
      <c r="H170" s="39" t="str">
        <f t="shared" si="18"/>
        <v/>
      </c>
      <c r="I170" s="39" t="str">
        <f t="shared" si="19"/>
        <v/>
      </c>
      <c r="J170" s="39" t="str">
        <f t="shared" si="20"/>
        <v/>
      </c>
      <c r="K170" s="39"/>
      <c r="L170" s="39" t="str">
        <f t="shared" si="21"/>
        <v/>
      </c>
      <c r="M170" s="39" t="str">
        <f t="shared" si="22"/>
        <v/>
      </c>
      <c r="N170" s="39" t="str">
        <f t="shared" si="23"/>
        <v/>
      </c>
      <c r="O170" s="39" t="str">
        <f t="shared" si="24"/>
        <v/>
      </c>
      <c r="P170" s="39" t="str">
        <f t="shared" si="25"/>
        <v/>
      </c>
      <c r="Q170" s="39"/>
      <c r="R170" s="39"/>
      <c r="S170" s="39"/>
      <c r="X170" t="str">
        <f t="shared" si="26"/>
        <v/>
      </c>
    </row>
    <row r="171" spans="1:24" x14ac:dyDescent="0.2">
      <c r="A171" s="39"/>
      <c r="B171" s="39"/>
      <c r="C171" s="39"/>
      <c r="D171" s="39"/>
      <c r="E171" s="39"/>
      <c r="F171" s="39"/>
      <c r="G171" s="39"/>
      <c r="H171" s="39" t="str">
        <f t="shared" si="18"/>
        <v/>
      </c>
      <c r="I171" s="39" t="str">
        <f t="shared" si="19"/>
        <v/>
      </c>
      <c r="J171" s="39" t="str">
        <f t="shared" si="20"/>
        <v/>
      </c>
      <c r="K171" s="39"/>
      <c r="L171" s="39" t="str">
        <f t="shared" si="21"/>
        <v/>
      </c>
      <c r="M171" s="39" t="str">
        <f t="shared" si="22"/>
        <v/>
      </c>
      <c r="N171" s="39" t="str">
        <f t="shared" si="23"/>
        <v/>
      </c>
      <c r="O171" s="39" t="str">
        <f t="shared" si="24"/>
        <v/>
      </c>
      <c r="P171" s="39" t="str">
        <f t="shared" si="25"/>
        <v/>
      </c>
      <c r="Q171" s="39"/>
      <c r="R171" s="39"/>
      <c r="S171" s="39"/>
      <c r="X171" t="str">
        <f t="shared" si="26"/>
        <v/>
      </c>
    </row>
    <row r="172" spans="1:24" x14ac:dyDescent="0.2">
      <c r="A172" s="39"/>
      <c r="B172" s="39"/>
      <c r="C172" s="39"/>
      <c r="D172" s="39"/>
      <c r="E172" s="39"/>
      <c r="F172" s="39"/>
      <c r="G172" s="39"/>
      <c r="H172" s="39" t="str">
        <f t="shared" si="18"/>
        <v/>
      </c>
      <c r="I172" s="39" t="str">
        <f t="shared" si="19"/>
        <v/>
      </c>
      <c r="J172" s="39" t="str">
        <f t="shared" si="20"/>
        <v/>
      </c>
      <c r="K172" s="39"/>
      <c r="L172" s="39" t="str">
        <f t="shared" si="21"/>
        <v/>
      </c>
      <c r="M172" s="39" t="str">
        <f t="shared" si="22"/>
        <v/>
      </c>
      <c r="N172" s="39" t="str">
        <f t="shared" si="23"/>
        <v/>
      </c>
      <c r="O172" s="39" t="str">
        <f t="shared" si="24"/>
        <v/>
      </c>
      <c r="P172" s="39" t="str">
        <f t="shared" si="25"/>
        <v/>
      </c>
      <c r="Q172" s="39"/>
      <c r="R172" s="39"/>
      <c r="S172" s="39"/>
      <c r="X172" t="str">
        <f t="shared" si="26"/>
        <v/>
      </c>
    </row>
    <row r="173" spans="1:24" x14ac:dyDescent="0.2">
      <c r="A173" s="39"/>
      <c r="B173" s="39"/>
      <c r="C173" s="39"/>
      <c r="D173" s="39"/>
      <c r="E173" s="39"/>
      <c r="F173" s="39"/>
      <c r="G173" s="39"/>
      <c r="H173" s="39" t="str">
        <f t="shared" si="18"/>
        <v/>
      </c>
      <c r="I173" s="39" t="str">
        <f t="shared" si="19"/>
        <v/>
      </c>
      <c r="J173" s="39" t="str">
        <f t="shared" si="20"/>
        <v/>
      </c>
      <c r="K173" s="39"/>
      <c r="L173" s="39" t="str">
        <f t="shared" si="21"/>
        <v/>
      </c>
      <c r="M173" s="39" t="str">
        <f t="shared" si="22"/>
        <v/>
      </c>
      <c r="N173" s="39" t="str">
        <f t="shared" si="23"/>
        <v/>
      </c>
      <c r="O173" s="39" t="str">
        <f t="shared" si="24"/>
        <v/>
      </c>
      <c r="P173" s="39" t="str">
        <f t="shared" si="25"/>
        <v/>
      </c>
      <c r="Q173" s="39"/>
      <c r="R173" s="39"/>
      <c r="S173" s="39"/>
      <c r="X173" t="str">
        <f t="shared" si="26"/>
        <v/>
      </c>
    </row>
    <row r="174" spans="1:24" x14ac:dyDescent="0.2">
      <c r="A174" s="39"/>
      <c r="B174" s="39"/>
      <c r="C174" s="39"/>
      <c r="D174" s="39"/>
      <c r="E174" s="39"/>
      <c r="F174" s="39"/>
      <c r="G174" s="39"/>
      <c r="H174" s="39" t="str">
        <f t="shared" si="18"/>
        <v/>
      </c>
      <c r="I174" s="39" t="str">
        <f t="shared" si="19"/>
        <v/>
      </c>
      <c r="J174" s="39" t="str">
        <f t="shared" si="20"/>
        <v/>
      </c>
      <c r="K174" s="39"/>
      <c r="L174" s="39" t="str">
        <f t="shared" si="21"/>
        <v/>
      </c>
      <c r="M174" s="39" t="str">
        <f t="shared" si="22"/>
        <v/>
      </c>
      <c r="N174" s="39" t="str">
        <f t="shared" si="23"/>
        <v/>
      </c>
      <c r="O174" s="39" t="str">
        <f t="shared" si="24"/>
        <v/>
      </c>
      <c r="P174" s="39" t="str">
        <f t="shared" si="25"/>
        <v/>
      </c>
      <c r="Q174" s="39"/>
      <c r="R174" s="39"/>
      <c r="S174" s="39"/>
      <c r="X174" t="str">
        <f t="shared" si="26"/>
        <v/>
      </c>
    </row>
    <row r="175" spans="1:24" x14ac:dyDescent="0.2">
      <c r="A175" s="39"/>
      <c r="B175" s="39"/>
      <c r="C175" s="39"/>
      <c r="D175" s="39"/>
      <c r="E175" s="39"/>
      <c r="F175" s="39"/>
      <c r="G175" s="39"/>
      <c r="H175" s="39" t="str">
        <f t="shared" si="18"/>
        <v/>
      </c>
      <c r="I175" s="39" t="str">
        <f t="shared" si="19"/>
        <v/>
      </c>
      <c r="J175" s="39" t="str">
        <f t="shared" si="20"/>
        <v/>
      </c>
      <c r="K175" s="39"/>
      <c r="L175" s="39" t="str">
        <f t="shared" si="21"/>
        <v/>
      </c>
      <c r="M175" s="39" t="str">
        <f t="shared" si="22"/>
        <v/>
      </c>
      <c r="N175" s="39" t="str">
        <f t="shared" si="23"/>
        <v/>
      </c>
      <c r="O175" s="39" t="str">
        <f t="shared" si="24"/>
        <v/>
      </c>
      <c r="P175" s="39" t="str">
        <f t="shared" si="25"/>
        <v/>
      </c>
      <c r="Q175" s="39"/>
      <c r="R175" s="39"/>
      <c r="S175" s="39"/>
      <c r="X175" t="str">
        <f t="shared" si="26"/>
        <v/>
      </c>
    </row>
    <row r="176" spans="1:24" x14ac:dyDescent="0.2">
      <c r="A176" s="39"/>
      <c r="B176" s="39"/>
      <c r="C176" s="39"/>
      <c r="D176" s="39"/>
      <c r="E176" s="39"/>
      <c r="F176" s="39"/>
      <c r="G176" s="39"/>
      <c r="H176" s="39" t="str">
        <f t="shared" si="18"/>
        <v/>
      </c>
      <c r="I176" s="39" t="str">
        <f t="shared" si="19"/>
        <v/>
      </c>
      <c r="J176" s="39" t="str">
        <f t="shared" si="20"/>
        <v/>
      </c>
      <c r="K176" s="39"/>
      <c r="L176" s="39" t="str">
        <f t="shared" si="21"/>
        <v/>
      </c>
      <c r="M176" s="39" t="str">
        <f t="shared" si="22"/>
        <v/>
      </c>
      <c r="N176" s="39" t="str">
        <f t="shared" si="23"/>
        <v/>
      </c>
      <c r="O176" s="39" t="str">
        <f t="shared" si="24"/>
        <v/>
      </c>
      <c r="P176" s="39" t="str">
        <f t="shared" si="25"/>
        <v/>
      </c>
      <c r="Q176" s="39"/>
      <c r="R176" s="39"/>
      <c r="S176" s="39"/>
      <c r="X176" t="str">
        <f t="shared" si="26"/>
        <v/>
      </c>
    </row>
    <row r="177" spans="1:24" x14ac:dyDescent="0.2">
      <c r="A177" s="39"/>
      <c r="B177" s="39"/>
      <c r="C177" s="39"/>
      <c r="D177" s="39"/>
      <c r="E177" s="39"/>
      <c r="F177" s="39"/>
      <c r="G177" s="39"/>
      <c r="H177" s="39" t="str">
        <f t="shared" si="18"/>
        <v/>
      </c>
      <c r="I177" s="39" t="str">
        <f t="shared" si="19"/>
        <v/>
      </c>
      <c r="J177" s="39" t="str">
        <f t="shared" si="20"/>
        <v/>
      </c>
      <c r="K177" s="39"/>
      <c r="L177" s="39" t="str">
        <f t="shared" si="21"/>
        <v/>
      </c>
      <c r="M177" s="39" t="str">
        <f t="shared" si="22"/>
        <v/>
      </c>
      <c r="N177" s="39" t="str">
        <f t="shared" si="23"/>
        <v/>
      </c>
      <c r="O177" s="39" t="str">
        <f t="shared" si="24"/>
        <v/>
      </c>
      <c r="P177" s="39" t="str">
        <f t="shared" si="25"/>
        <v/>
      </c>
      <c r="Q177" s="39"/>
      <c r="R177" s="39"/>
      <c r="S177" s="39"/>
      <c r="X177" t="str">
        <f t="shared" si="26"/>
        <v/>
      </c>
    </row>
    <row r="178" spans="1:24" x14ac:dyDescent="0.2">
      <c r="A178" s="39"/>
      <c r="B178" s="39"/>
      <c r="C178" s="39"/>
      <c r="D178" s="39"/>
      <c r="E178" s="39"/>
      <c r="F178" s="39"/>
      <c r="G178" s="39"/>
      <c r="H178" s="39" t="str">
        <f t="shared" si="18"/>
        <v/>
      </c>
      <c r="I178" s="39" t="str">
        <f t="shared" si="19"/>
        <v/>
      </c>
      <c r="J178" s="39" t="str">
        <f t="shared" si="20"/>
        <v/>
      </c>
      <c r="K178" s="39"/>
      <c r="L178" s="39" t="str">
        <f t="shared" si="21"/>
        <v/>
      </c>
      <c r="M178" s="39" t="str">
        <f t="shared" si="22"/>
        <v/>
      </c>
      <c r="N178" s="39" t="str">
        <f t="shared" si="23"/>
        <v/>
      </c>
      <c r="O178" s="39" t="str">
        <f t="shared" si="24"/>
        <v/>
      </c>
      <c r="P178" s="39" t="str">
        <f t="shared" si="25"/>
        <v/>
      </c>
      <c r="Q178" s="39"/>
      <c r="R178" s="39"/>
      <c r="S178" s="39"/>
      <c r="X178" t="str">
        <f t="shared" si="26"/>
        <v/>
      </c>
    </row>
    <row r="179" spans="1:24" x14ac:dyDescent="0.2">
      <c r="A179" s="39"/>
      <c r="B179" s="39"/>
      <c r="C179" s="39"/>
      <c r="D179" s="39"/>
      <c r="E179" s="39"/>
      <c r="F179" s="39"/>
      <c r="G179" s="39"/>
      <c r="H179" s="39" t="str">
        <f t="shared" si="18"/>
        <v/>
      </c>
      <c r="I179" s="39" t="str">
        <f t="shared" si="19"/>
        <v/>
      </c>
      <c r="J179" s="39" t="str">
        <f t="shared" si="20"/>
        <v/>
      </c>
      <c r="K179" s="39"/>
      <c r="L179" s="39" t="str">
        <f t="shared" si="21"/>
        <v/>
      </c>
      <c r="M179" s="39" t="str">
        <f t="shared" si="22"/>
        <v/>
      </c>
      <c r="N179" s="39" t="str">
        <f t="shared" si="23"/>
        <v/>
      </c>
      <c r="O179" s="39" t="str">
        <f t="shared" si="24"/>
        <v/>
      </c>
      <c r="P179" s="39" t="str">
        <f t="shared" si="25"/>
        <v/>
      </c>
      <c r="Q179" s="39"/>
      <c r="R179" s="39"/>
      <c r="S179" s="39"/>
      <c r="X179" t="str">
        <f t="shared" si="26"/>
        <v/>
      </c>
    </row>
    <row r="180" spans="1:24" x14ac:dyDescent="0.2">
      <c r="A180" s="39"/>
      <c r="B180" s="39"/>
      <c r="C180" s="39"/>
      <c r="D180" s="39"/>
      <c r="E180" s="39"/>
      <c r="F180" s="39"/>
      <c r="G180" s="39"/>
      <c r="H180" s="39" t="str">
        <f t="shared" si="18"/>
        <v/>
      </c>
      <c r="I180" s="39" t="str">
        <f t="shared" si="19"/>
        <v/>
      </c>
      <c r="J180" s="39" t="str">
        <f t="shared" si="20"/>
        <v/>
      </c>
      <c r="K180" s="39"/>
      <c r="L180" s="39" t="str">
        <f t="shared" si="21"/>
        <v/>
      </c>
      <c r="M180" s="39" t="str">
        <f t="shared" si="22"/>
        <v/>
      </c>
      <c r="N180" s="39" t="str">
        <f t="shared" si="23"/>
        <v/>
      </c>
      <c r="O180" s="39" t="str">
        <f t="shared" si="24"/>
        <v/>
      </c>
      <c r="P180" s="39" t="str">
        <f t="shared" si="25"/>
        <v/>
      </c>
      <c r="Q180" s="39"/>
      <c r="R180" s="39"/>
      <c r="S180" s="39"/>
      <c r="X180" t="str">
        <f t="shared" si="26"/>
        <v/>
      </c>
    </row>
    <row r="181" spans="1:24" x14ac:dyDescent="0.2">
      <c r="A181" s="39"/>
      <c r="B181" s="39"/>
      <c r="C181" s="39"/>
      <c r="D181" s="39"/>
      <c r="E181" s="39"/>
      <c r="F181" s="39"/>
      <c r="G181" s="39"/>
      <c r="H181" s="39" t="str">
        <f t="shared" si="18"/>
        <v/>
      </c>
      <c r="I181" s="39" t="str">
        <f t="shared" si="19"/>
        <v/>
      </c>
      <c r="J181" s="39" t="str">
        <f t="shared" si="20"/>
        <v/>
      </c>
      <c r="K181" s="39"/>
      <c r="L181" s="39" t="str">
        <f t="shared" si="21"/>
        <v/>
      </c>
      <c r="M181" s="39" t="str">
        <f t="shared" si="22"/>
        <v/>
      </c>
      <c r="N181" s="39" t="str">
        <f t="shared" si="23"/>
        <v/>
      </c>
      <c r="O181" s="39" t="str">
        <f t="shared" si="24"/>
        <v/>
      </c>
      <c r="P181" s="39" t="str">
        <f t="shared" si="25"/>
        <v/>
      </c>
      <c r="Q181" s="39"/>
      <c r="R181" s="39"/>
      <c r="S181" s="39"/>
      <c r="X181" t="str">
        <f t="shared" si="26"/>
        <v/>
      </c>
    </row>
    <row r="182" spans="1:24" x14ac:dyDescent="0.2">
      <c r="A182" s="39"/>
      <c r="B182" s="39"/>
      <c r="C182" s="39"/>
      <c r="D182" s="39"/>
      <c r="E182" s="39"/>
      <c r="F182" s="39"/>
      <c r="G182" s="39"/>
      <c r="H182" s="39" t="str">
        <f t="shared" si="18"/>
        <v/>
      </c>
      <c r="I182" s="39" t="str">
        <f t="shared" si="19"/>
        <v/>
      </c>
      <c r="J182" s="39" t="str">
        <f t="shared" si="20"/>
        <v/>
      </c>
      <c r="K182" s="39"/>
      <c r="L182" s="39" t="str">
        <f t="shared" si="21"/>
        <v/>
      </c>
      <c r="M182" s="39" t="str">
        <f t="shared" si="22"/>
        <v/>
      </c>
      <c r="N182" s="39" t="str">
        <f t="shared" si="23"/>
        <v/>
      </c>
      <c r="O182" s="39" t="str">
        <f t="shared" si="24"/>
        <v/>
      </c>
      <c r="P182" s="39" t="str">
        <f t="shared" si="25"/>
        <v/>
      </c>
      <c r="Q182" s="39"/>
      <c r="R182" s="39"/>
      <c r="S182" s="39"/>
      <c r="X182" t="str">
        <f t="shared" si="26"/>
        <v/>
      </c>
    </row>
    <row r="183" spans="1:24" x14ac:dyDescent="0.2">
      <c r="A183" s="39"/>
      <c r="B183" s="39"/>
      <c r="C183" s="39"/>
      <c r="D183" s="39"/>
      <c r="E183" s="39"/>
      <c r="F183" s="39"/>
      <c r="G183" s="39"/>
      <c r="H183" s="39" t="str">
        <f t="shared" si="18"/>
        <v/>
      </c>
      <c r="I183" s="39" t="str">
        <f t="shared" si="19"/>
        <v/>
      </c>
      <c r="J183" s="39" t="str">
        <f t="shared" si="20"/>
        <v/>
      </c>
      <c r="K183" s="39"/>
      <c r="L183" s="39" t="str">
        <f t="shared" si="21"/>
        <v/>
      </c>
      <c r="M183" s="39" t="str">
        <f t="shared" si="22"/>
        <v/>
      </c>
      <c r="N183" s="39" t="str">
        <f t="shared" si="23"/>
        <v/>
      </c>
      <c r="O183" s="39" t="str">
        <f t="shared" si="24"/>
        <v/>
      </c>
      <c r="P183" s="39" t="str">
        <f t="shared" si="25"/>
        <v/>
      </c>
      <c r="Q183" s="39"/>
      <c r="R183" s="39"/>
      <c r="S183" s="39"/>
      <c r="X183" t="str">
        <f t="shared" si="26"/>
        <v/>
      </c>
    </row>
    <row r="184" spans="1:24" x14ac:dyDescent="0.2">
      <c r="A184" s="39"/>
      <c r="B184" s="39"/>
      <c r="C184" s="39"/>
      <c r="D184" s="39"/>
      <c r="E184" s="39"/>
      <c r="F184" s="39"/>
      <c r="G184" s="39"/>
      <c r="H184" s="39" t="str">
        <f t="shared" si="18"/>
        <v/>
      </c>
      <c r="I184" s="39" t="str">
        <f t="shared" si="19"/>
        <v/>
      </c>
      <c r="J184" s="39" t="str">
        <f t="shared" si="20"/>
        <v/>
      </c>
      <c r="K184" s="39"/>
      <c r="L184" s="39" t="str">
        <f t="shared" si="21"/>
        <v/>
      </c>
      <c r="M184" s="39" t="str">
        <f t="shared" si="22"/>
        <v/>
      </c>
      <c r="N184" s="39" t="str">
        <f t="shared" si="23"/>
        <v/>
      </c>
      <c r="O184" s="39" t="str">
        <f t="shared" si="24"/>
        <v/>
      </c>
      <c r="P184" s="39" t="str">
        <f t="shared" si="25"/>
        <v/>
      </c>
      <c r="Q184" s="39"/>
      <c r="R184" s="39"/>
      <c r="S184" s="39"/>
      <c r="X184" t="str">
        <f t="shared" si="26"/>
        <v/>
      </c>
    </row>
    <row r="185" spans="1:24" x14ac:dyDescent="0.2">
      <c r="A185" s="39"/>
      <c r="B185" s="39"/>
      <c r="C185" s="39"/>
      <c r="D185" s="39"/>
      <c r="E185" s="39"/>
      <c r="F185" s="39"/>
      <c r="G185" s="39"/>
      <c r="H185" s="39" t="str">
        <f t="shared" si="18"/>
        <v/>
      </c>
      <c r="I185" s="39" t="str">
        <f t="shared" si="19"/>
        <v/>
      </c>
      <c r="J185" s="39" t="str">
        <f t="shared" si="20"/>
        <v/>
      </c>
      <c r="K185" s="39"/>
      <c r="L185" s="39" t="str">
        <f t="shared" si="21"/>
        <v/>
      </c>
      <c r="M185" s="39" t="str">
        <f t="shared" si="22"/>
        <v/>
      </c>
      <c r="N185" s="39" t="str">
        <f t="shared" si="23"/>
        <v/>
      </c>
      <c r="O185" s="39" t="str">
        <f t="shared" si="24"/>
        <v/>
      </c>
      <c r="P185" s="39" t="str">
        <f t="shared" si="25"/>
        <v/>
      </c>
      <c r="Q185" s="39"/>
      <c r="R185" s="39"/>
      <c r="S185" s="39"/>
      <c r="X185" t="str">
        <f t="shared" si="26"/>
        <v/>
      </c>
    </row>
    <row r="186" spans="1:24" x14ac:dyDescent="0.2">
      <c r="A186" s="39"/>
      <c r="B186" s="39"/>
      <c r="C186" s="39"/>
      <c r="D186" s="39"/>
      <c r="E186" s="39"/>
      <c r="F186" s="39"/>
      <c r="G186" s="39"/>
      <c r="H186" s="39" t="str">
        <f t="shared" si="18"/>
        <v/>
      </c>
      <c r="I186" s="39" t="str">
        <f t="shared" si="19"/>
        <v/>
      </c>
      <c r="J186" s="39" t="str">
        <f t="shared" si="20"/>
        <v/>
      </c>
      <c r="K186" s="39"/>
      <c r="L186" s="39" t="str">
        <f t="shared" si="21"/>
        <v/>
      </c>
      <c r="M186" s="39" t="str">
        <f t="shared" si="22"/>
        <v/>
      </c>
      <c r="N186" s="39" t="str">
        <f t="shared" si="23"/>
        <v/>
      </c>
      <c r="O186" s="39" t="str">
        <f t="shared" si="24"/>
        <v/>
      </c>
      <c r="P186" s="39" t="str">
        <f t="shared" si="25"/>
        <v/>
      </c>
      <c r="Q186" s="39"/>
      <c r="R186" s="39"/>
      <c r="S186" s="39"/>
      <c r="X186" t="str">
        <f t="shared" si="26"/>
        <v/>
      </c>
    </row>
    <row r="187" spans="1:24" x14ac:dyDescent="0.2">
      <c r="A187" s="39"/>
      <c r="B187" s="39"/>
      <c r="C187" s="39"/>
      <c r="D187" s="39"/>
      <c r="E187" s="39"/>
      <c r="F187" s="39"/>
      <c r="G187" s="39"/>
      <c r="H187" s="39" t="str">
        <f t="shared" si="18"/>
        <v/>
      </c>
      <c r="I187" s="39" t="str">
        <f t="shared" si="19"/>
        <v/>
      </c>
      <c r="J187" s="39" t="str">
        <f t="shared" si="20"/>
        <v/>
      </c>
      <c r="K187" s="39"/>
      <c r="L187" s="39" t="str">
        <f t="shared" si="21"/>
        <v/>
      </c>
      <c r="M187" s="39" t="str">
        <f t="shared" si="22"/>
        <v/>
      </c>
      <c r="N187" s="39" t="str">
        <f t="shared" si="23"/>
        <v/>
      </c>
      <c r="O187" s="39" t="str">
        <f t="shared" si="24"/>
        <v/>
      </c>
      <c r="P187" s="39" t="str">
        <f t="shared" si="25"/>
        <v/>
      </c>
      <c r="Q187" s="39"/>
      <c r="R187" s="39"/>
      <c r="S187" s="39"/>
      <c r="X187" t="str">
        <f t="shared" si="26"/>
        <v/>
      </c>
    </row>
    <row r="188" spans="1:24" x14ac:dyDescent="0.2">
      <c r="A188" s="39"/>
      <c r="B188" s="39"/>
      <c r="C188" s="39"/>
      <c r="D188" s="39"/>
      <c r="E188" s="39"/>
      <c r="F188" s="39"/>
      <c r="G188" s="39"/>
      <c r="H188" s="39" t="str">
        <f t="shared" si="18"/>
        <v/>
      </c>
      <c r="I188" s="39" t="str">
        <f t="shared" si="19"/>
        <v/>
      </c>
      <c r="J188" s="39" t="str">
        <f t="shared" si="20"/>
        <v/>
      </c>
      <c r="K188" s="39"/>
      <c r="L188" s="39" t="str">
        <f t="shared" si="21"/>
        <v/>
      </c>
      <c r="M188" s="39" t="str">
        <f t="shared" si="22"/>
        <v/>
      </c>
      <c r="N188" s="39" t="str">
        <f t="shared" si="23"/>
        <v/>
      </c>
      <c r="O188" s="39" t="str">
        <f t="shared" si="24"/>
        <v/>
      </c>
      <c r="P188" s="39" t="str">
        <f t="shared" si="25"/>
        <v/>
      </c>
      <c r="Q188" s="39"/>
      <c r="R188" s="39"/>
      <c r="S188" s="39"/>
      <c r="X188" t="str">
        <f t="shared" si="26"/>
        <v/>
      </c>
    </row>
    <row r="189" spans="1:24" x14ac:dyDescent="0.2">
      <c r="A189" s="39"/>
      <c r="B189" s="39"/>
      <c r="C189" s="39"/>
      <c r="D189" s="39"/>
      <c r="E189" s="39"/>
      <c r="F189" s="39"/>
      <c r="G189" s="39"/>
      <c r="H189" s="39" t="str">
        <f t="shared" si="18"/>
        <v/>
      </c>
      <c r="I189" s="39" t="str">
        <f t="shared" si="19"/>
        <v/>
      </c>
      <c r="J189" s="39" t="str">
        <f t="shared" si="20"/>
        <v/>
      </c>
      <c r="K189" s="39"/>
      <c r="L189" s="39" t="str">
        <f t="shared" si="21"/>
        <v/>
      </c>
      <c r="M189" s="39" t="str">
        <f t="shared" si="22"/>
        <v/>
      </c>
      <c r="N189" s="39" t="str">
        <f t="shared" si="23"/>
        <v/>
      </c>
      <c r="O189" s="39" t="str">
        <f t="shared" si="24"/>
        <v/>
      </c>
      <c r="P189" s="39" t="str">
        <f t="shared" si="25"/>
        <v/>
      </c>
      <c r="Q189" s="39"/>
      <c r="R189" s="39"/>
      <c r="S189" s="39"/>
      <c r="X189" t="str">
        <f t="shared" si="26"/>
        <v/>
      </c>
    </row>
    <row r="190" spans="1:24" x14ac:dyDescent="0.2">
      <c r="A190" s="39"/>
      <c r="B190" s="39"/>
      <c r="C190" s="39"/>
      <c r="D190" s="39"/>
      <c r="E190" s="39"/>
      <c r="F190" s="39"/>
      <c r="G190" s="39"/>
      <c r="H190" s="39" t="str">
        <f t="shared" si="18"/>
        <v/>
      </c>
      <c r="I190" s="39" t="str">
        <f t="shared" si="19"/>
        <v/>
      </c>
      <c r="J190" s="39" t="str">
        <f t="shared" si="20"/>
        <v/>
      </c>
      <c r="K190" s="39"/>
      <c r="L190" s="39" t="str">
        <f t="shared" si="21"/>
        <v/>
      </c>
      <c r="M190" s="39" t="str">
        <f t="shared" si="22"/>
        <v/>
      </c>
      <c r="N190" s="39" t="str">
        <f t="shared" si="23"/>
        <v/>
      </c>
      <c r="O190" s="39" t="str">
        <f t="shared" si="24"/>
        <v/>
      </c>
      <c r="P190" s="39" t="str">
        <f t="shared" si="25"/>
        <v/>
      </c>
      <c r="Q190" s="39"/>
      <c r="R190" s="39"/>
      <c r="S190" s="39"/>
      <c r="X190" t="str">
        <f t="shared" si="26"/>
        <v/>
      </c>
    </row>
    <row r="191" spans="1:24" x14ac:dyDescent="0.2">
      <c r="A191" s="39"/>
      <c r="B191" s="39"/>
      <c r="C191" s="39"/>
      <c r="D191" s="39"/>
      <c r="E191" s="39"/>
      <c r="F191" s="39"/>
      <c r="G191" s="39"/>
      <c r="H191" s="39" t="str">
        <f t="shared" si="18"/>
        <v/>
      </c>
      <c r="I191" s="39" t="str">
        <f t="shared" si="19"/>
        <v/>
      </c>
      <c r="J191" s="39" t="str">
        <f t="shared" si="20"/>
        <v/>
      </c>
      <c r="K191" s="39"/>
      <c r="L191" s="39" t="str">
        <f t="shared" si="21"/>
        <v/>
      </c>
      <c r="M191" s="39" t="str">
        <f t="shared" si="22"/>
        <v/>
      </c>
      <c r="N191" s="39" t="str">
        <f t="shared" si="23"/>
        <v/>
      </c>
      <c r="O191" s="39" t="str">
        <f t="shared" si="24"/>
        <v/>
      </c>
      <c r="P191" s="39" t="str">
        <f t="shared" si="25"/>
        <v/>
      </c>
      <c r="Q191" s="39"/>
      <c r="R191" s="39"/>
      <c r="S191" s="39"/>
      <c r="X191" t="str">
        <f t="shared" si="26"/>
        <v/>
      </c>
    </row>
    <row r="192" spans="1:24" x14ac:dyDescent="0.2">
      <c r="A192" s="39"/>
      <c r="B192" s="39"/>
      <c r="C192" s="39"/>
      <c r="D192" s="39"/>
      <c r="E192" s="39"/>
      <c r="F192" s="39"/>
      <c r="G192" s="39"/>
      <c r="H192" s="39" t="str">
        <f t="shared" si="18"/>
        <v/>
      </c>
      <c r="I192" s="39" t="str">
        <f t="shared" si="19"/>
        <v/>
      </c>
      <c r="J192" s="39" t="str">
        <f t="shared" si="20"/>
        <v/>
      </c>
      <c r="K192" s="39"/>
      <c r="L192" s="39" t="str">
        <f t="shared" si="21"/>
        <v/>
      </c>
      <c r="M192" s="39" t="str">
        <f t="shared" si="22"/>
        <v/>
      </c>
      <c r="N192" s="39" t="str">
        <f t="shared" si="23"/>
        <v/>
      </c>
      <c r="O192" s="39" t="str">
        <f t="shared" si="24"/>
        <v/>
      </c>
      <c r="P192" s="39" t="str">
        <f t="shared" si="25"/>
        <v/>
      </c>
      <c r="Q192" s="39"/>
      <c r="R192" s="39"/>
      <c r="S192" s="39"/>
      <c r="X192" t="str">
        <f t="shared" si="26"/>
        <v/>
      </c>
    </row>
    <row r="193" spans="1:24" x14ac:dyDescent="0.2">
      <c r="A193" s="39"/>
      <c r="B193" s="39"/>
      <c r="C193" s="39"/>
      <c r="D193" s="39"/>
      <c r="E193" s="39"/>
      <c r="F193" s="39"/>
      <c r="G193" s="39"/>
      <c r="H193" s="39" t="str">
        <f t="shared" si="18"/>
        <v/>
      </c>
      <c r="I193" s="39" t="str">
        <f t="shared" si="19"/>
        <v/>
      </c>
      <c r="J193" s="39" t="str">
        <f t="shared" si="20"/>
        <v/>
      </c>
      <c r="K193" s="39"/>
      <c r="L193" s="39" t="str">
        <f t="shared" si="21"/>
        <v/>
      </c>
      <c r="M193" s="39" t="str">
        <f t="shared" si="22"/>
        <v/>
      </c>
      <c r="N193" s="39" t="str">
        <f t="shared" si="23"/>
        <v/>
      </c>
      <c r="O193" s="39" t="str">
        <f t="shared" si="24"/>
        <v/>
      </c>
      <c r="P193" s="39" t="str">
        <f t="shared" si="25"/>
        <v/>
      </c>
      <c r="Q193" s="39"/>
      <c r="R193" s="39"/>
      <c r="S193" s="39"/>
      <c r="X193" t="str">
        <f t="shared" si="26"/>
        <v/>
      </c>
    </row>
    <row r="194" spans="1:24" x14ac:dyDescent="0.2">
      <c r="A194" s="39"/>
      <c r="B194" s="39"/>
      <c r="C194" s="39"/>
      <c r="D194" s="39"/>
      <c r="E194" s="39"/>
      <c r="F194" s="39"/>
      <c r="G194" s="39"/>
      <c r="H194" s="39" t="str">
        <f t="shared" si="18"/>
        <v/>
      </c>
      <c r="I194" s="39" t="str">
        <f t="shared" si="19"/>
        <v/>
      </c>
      <c r="J194" s="39" t="str">
        <f t="shared" si="20"/>
        <v/>
      </c>
      <c r="K194" s="39"/>
      <c r="L194" s="39" t="str">
        <f t="shared" si="21"/>
        <v/>
      </c>
      <c r="M194" s="39" t="str">
        <f t="shared" si="22"/>
        <v/>
      </c>
      <c r="N194" s="39" t="str">
        <f t="shared" si="23"/>
        <v/>
      </c>
      <c r="O194" s="39" t="str">
        <f t="shared" si="24"/>
        <v/>
      </c>
      <c r="P194" s="39" t="str">
        <f t="shared" si="25"/>
        <v/>
      </c>
      <c r="Q194" s="39"/>
      <c r="R194" s="39"/>
      <c r="S194" s="39"/>
      <c r="X194" t="str">
        <f t="shared" si="26"/>
        <v/>
      </c>
    </row>
    <row r="195" spans="1:24" x14ac:dyDescent="0.2">
      <c r="A195" s="39"/>
      <c r="B195" s="39"/>
      <c r="C195" s="39"/>
      <c r="D195" s="39"/>
      <c r="E195" s="39"/>
      <c r="F195" s="39"/>
      <c r="G195" s="39"/>
      <c r="H195" s="39" t="str">
        <f t="shared" si="18"/>
        <v/>
      </c>
      <c r="I195" s="39" t="str">
        <f t="shared" si="19"/>
        <v/>
      </c>
      <c r="J195" s="39" t="str">
        <f t="shared" si="20"/>
        <v/>
      </c>
      <c r="K195" s="39"/>
      <c r="L195" s="39" t="str">
        <f t="shared" si="21"/>
        <v/>
      </c>
      <c r="M195" s="39" t="str">
        <f t="shared" si="22"/>
        <v/>
      </c>
      <c r="N195" s="39" t="str">
        <f t="shared" si="23"/>
        <v/>
      </c>
      <c r="O195" s="39" t="str">
        <f t="shared" si="24"/>
        <v/>
      </c>
      <c r="P195" s="39" t="str">
        <f t="shared" si="25"/>
        <v/>
      </c>
      <c r="Q195" s="39"/>
      <c r="R195" s="39"/>
      <c r="S195" s="39"/>
      <c r="X195" t="str">
        <f t="shared" si="26"/>
        <v/>
      </c>
    </row>
    <row r="196" spans="1:24" x14ac:dyDescent="0.2">
      <c r="A196" s="39"/>
      <c r="B196" s="39"/>
      <c r="C196" s="39"/>
      <c r="D196" s="39"/>
      <c r="E196" s="39"/>
      <c r="F196" s="39"/>
      <c r="G196" s="39"/>
      <c r="H196" s="39" t="str">
        <f t="shared" si="18"/>
        <v/>
      </c>
      <c r="I196" s="39" t="str">
        <f t="shared" si="19"/>
        <v/>
      </c>
      <c r="J196" s="39" t="str">
        <f t="shared" si="20"/>
        <v/>
      </c>
      <c r="K196" s="39"/>
      <c r="L196" s="39" t="str">
        <f t="shared" si="21"/>
        <v/>
      </c>
      <c r="M196" s="39" t="str">
        <f t="shared" si="22"/>
        <v/>
      </c>
      <c r="N196" s="39" t="str">
        <f t="shared" si="23"/>
        <v/>
      </c>
      <c r="O196" s="39" t="str">
        <f t="shared" si="24"/>
        <v/>
      </c>
      <c r="P196" s="39" t="str">
        <f t="shared" si="25"/>
        <v/>
      </c>
      <c r="Q196" s="39"/>
      <c r="R196" s="39"/>
      <c r="S196" s="39"/>
      <c r="X196" t="str">
        <f t="shared" si="26"/>
        <v/>
      </c>
    </row>
    <row r="197" spans="1:24" x14ac:dyDescent="0.2">
      <c r="A197" s="39"/>
      <c r="B197" s="39"/>
      <c r="C197" s="39"/>
      <c r="D197" s="39"/>
      <c r="E197" s="39"/>
      <c r="F197" s="39"/>
      <c r="G197" s="39"/>
      <c r="H197" s="39" t="str">
        <f>IF($B197="","",IF(E197="","N","Y"))</f>
        <v/>
      </c>
      <c r="I197" s="39" t="str">
        <f>IF($B197="","",IF(ISNUMBER(SEARCH("NOIZYANTHROPIC",B197&amp;C197)),"NOIZYANTHROPIC",IF(ISNUMBER(SEARCH("METABEAST",B197&amp;C197)),"METABEAST",IF(ISNUMBER(SEARCH("META",B197&amp;C197)),"METABEAST",IF(ISNUMBER(SEARCH("NOIZYBEAST",B197&amp;C197)),"NOIZYBEAST",IF(ISNUMBER(SEARCH("BEAST",B197&amp;C197)),"NOIZYBEAST",IF(ISNUMBER(SEARCH("NA_",B197&amp;C197)),"NOIZYANTHROPIC",IF(ISNUMBER(SEARCH("NB_",B197&amp;C197)),"NOIZYBEAST",IF(ISNUMBER(SEARCH("MB_",B197&amp;C197)),"METABEAST","—")))))))))</f>
        <v/>
      </c>
      <c r="J197" s="39" t="str">
        <f>IF($B197="","",IF(OR(ISNUMBER(SEARCH("NOIZYANTHROPIC",B197&amp;C197)),ISNUMBER(SEARCH("METABEAST",B197&amp;C197)),ISNUMBER(SEARCH("NOIZYBEAST",B197&amp;C197))),"High",IF(I197="—","—","Low")))</f>
        <v/>
      </c>
      <c r="K197" s="39"/>
      <c r="L197" s="39" t="str">
        <f>IF($B197="","",IF(OR(ISNUMBER(SEARCH(".wav",B197)),ISNUMBER(SEARCH(".aif",B197)),ISNUMBER(SEARCH(".flac",B197)),ISNUMBER(SEARCH(".mp3",B197)),ISNUMBER(SEARCH(".ogg",B197)),ISNUMBER(SEARCH(".caf",B197))),"Audio",IF(H197="N","Orphan-Review","Data")))</f>
        <v/>
      </c>
      <c r="M197" s="39" t="str">
        <f>IF($B197="","",IF(I197="NOIZYANTHROPIC","/Pristine/NOIZYANTHROPIC/",IF(I197="NOIZYBEAST","/Pristine/NOIZYBEAST/",IF(I197="METABEAST","/Pristine/METABEAST/","/Pristine/_UNSORTED/"))))</f>
        <v/>
      </c>
      <c r="N197" s="39" t="str">
        <f>IF($B197="","",IF(G197="","",COUNTIF($G$4:$G$1000,G197)))</f>
        <v/>
      </c>
      <c r="O197" s="39" t="str">
        <f>IF($B197="","",IF(G197="","",IF(N197&gt;1,"DUP","unique")))</f>
        <v/>
      </c>
      <c r="P197" s="39" t="str">
        <f>IF($B197="","",IF(K197="","",COUNTIF($K$4:$K$1000,K197)))</f>
        <v/>
      </c>
      <c r="Q197" s="39"/>
      <c r="R197" s="39"/>
      <c r="S197" s="39"/>
      <c r="X197" t="str">
        <f t="shared" ref="X197:X200" si="27">IF($B197="","",IF($W197="Y","✅ SAFE TO MOVE","🔒 DO NOT DELETE — not 3-2-1"))</f>
        <v/>
      </c>
    </row>
    <row r="198" spans="1:24" x14ac:dyDescent="0.2">
      <c r="A198" s="39"/>
      <c r="B198" s="39"/>
      <c r="C198" s="39"/>
      <c r="D198" s="39"/>
      <c r="E198" s="39"/>
      <c r="F198" s="39"/>
      <c r="G198" s="39"/>
      <c r="H198" s="39" t="str">
        <f>IF($B198="","",IF(E198="","N","Y"))</f>
        <v/>
      </c>
      <c r="I198" s="39" t="str">
        <f>IF($B198="","",IF(ISNUMBER(SEARCH("NOIZYANTHROPIC",B198&amp;C198)),"NOIZYANTHROPIC",IF(ISNUMBER(SEARCH("METABEAST",B198&amp;C198)),"METABEAST",IF(ISNUMBER(SEARCH("META",B198&amp;C198)),"METABEAST",IF(ISNUMBER(SEARCH("NOIZYBEAST",B198&amp;C198)),"NOIZYBEAST",IF(ISNUMBER(SEARCH("BEAST",B198&amp;C198)),"NOIZYBEAST",IF(ISNUMBER(SEARCH("NA_",B198&amp;C198)),"NOIZYANTHROPIC",IF(ISNUMBER(SEARCH("NB_",B198&amp;C198)),"NOIZYBEAST",IF(ISNUMBER(SEARCH("MB_",B198&amp;C198)),"METABEAST","—")))))))))</f>
        <v/>
      </c>
      <c r="J198" s="39" t="str">
        <f>IF($B198="","",IF(OR(ISNUMBER(SEARCH("NOIZYANTHROPIC",B198&amp;C198)),ISNUMBER(SEARCH("METABEAST",B198&amp;C198)),ISNUMBER(SEARCH("NOIZYBEAST",B198&amp;C198))),"High",IF(I198="—","—","Low")))</f>
        <v/>
      </c>
      <c r="K198" s="39"/>
      <c r="L198" s="39" t="str">
        <f>IF($B198="","",IF(OR(ISNUMBER(SEARCH(".wav",B198)),ISNUMBER(SEARCH(".aif",B198)),ISNUMBER(SEARCH(".flac",B198)),ISNUMBER(SEARCH(".mp3",B198)),ISNUMBER(SEARCH(".ogg",B198)),ISNUMBER(SEARCH(".caf",B198))),"Audio",IF(H198="N","Orphan-Review","Data")))</f>
        <v/>
      </c>
      <c r="M198" s="39" t="str">
        <f>IF($B198="","",IF(I198="NOIZYANTHROPIC","/Pristine/NOIZYANTHROPIC/",IF(I198="NOIZYBEAST","/Pristine/NOIZYBEAST/",IF(I198="METABEAST","/Pristine/METABEAST/","/Pristine/_UNSORTED/"))))</f>
        <v/>
      </c>
      <c r="N198" s="39" t="str">
        <f>IF($B198="","",IF(G198="","",COUNTIF($G$4:$G$1000,G198)))</f>
        <v/>
      </c>
      <c r="O198" s="39" t="str">
        <f>IF($B198="","",IF(G198="","",IF(N198&gt;1,"DUP","unique")))</f>
        <v/>
      </c>
      <c r="P198" s="39" t="str">
        <f>IF($B198="","",IF(K198="","",COUNTIF($K$4:$K$1000,K198)))</f>
        <v/>
      </c>
      <c r="Q198" s="39"/>
      <c r="R198" s="39"/>
      <c r="S198" s="39"/>
      <c r="X198" t="str">
        <f t="shared" si="27"/>
        <v/>
      </c>
    </row>
    <row r="199" spans="1:24" x14ac:dyDescent="0.2">
      <c r="A199" s="39"/>
      <c r="B199" s="39"/>
      <c r="C199" s="39"/>
      <c r="D199" s="39"/>
      <c r="E199" s="39"/>
      <c r="F199" s="39"/>
      <c r="G199" s="39"/>
      <c r="H199" s="39" t="str">
        <f>IF($B199="","",IF(E199="","N","Y"))</f>
        <v/>
      </c>
      <c r="I199" s="39" t="str">
        <f>IF($B199="","",IF(ISNUMBER(SEARCH("NOIZYANTHROPIC",B199&amp;C199)),"NOIZYANTHROPIC",IF(ISNUMBER(SEARCH("METABEAST",B199&amp;C199)),"METABEAST",IF(ISNUMBER(SEARCH("META",B199&amp;C199)),"METABEAST",IF(ISNUMBER(SEARCH("NOIZYBEAST",B199&amp;C199)),"NOIZYBEAST",IF(ISNUMBER(SEARCH("BEAST",B199&amp;C199)),"NOIZYBEAST",IF(ISNUMBER(SEARCH("NA_",B199&amp;C199)),"NOIZYANTHROPIC",IF(ISNUMBER(SEARCH("NB_",B199&amp;C199)),"NOIZYBEAST",IF(ISNUMBER(SEARCH("MB_",B199&amp;C199)),"METABEAST","—")))))))))</f>
        <v/>
      </c>
      <c r="J199" s="39" t="str">
        <f>IF($B199="","",IF(OR(ISNUMBER(SEARCH("NOIZYANTHROPIC",B199&amp;C199)),ISNUMBER(SEARCH("METABEAST",B199&amp;C199)),ISNUMBER(SEARCH("NOIZYBEAST",B199&amp;C199))),"High",IF(I199="—","—","Low")))</f>
        <v/>
      </c>
      <c r="K199" s="39"/>
      <c r="L199" s="39" t="str">
        <f>IF($B199="","",IF(OR(ISNUMBER(SEARCH(".wav",B199)),ISNUMBER(SEARCH(".aif",B199)),ISNUMBER(SEARCH(".flac",B199)),ISNUMBER(SEARCH(".mp3",B199)),ISNUMBER(SEARCH(".ogg",B199)),ISNUMBER(SEARCH(".caf",B199))),"Audio",IF(H199="N","Orphan-Review","Data")))</f>
        <v/>
      </c>
      <c r="M199" s="39" t="str">
        <f>IF($B199="","",IF(I199="NOIZYANTHROPIC","/Pristine/NOIZYANTHROPIC/",IF(I199="NOIZYBEAST","/Pristine/NOIZYBEAST/",IF(I199="METABEAST","/Pristine/METABEAST/","/Pristine/_UNSORTED/"))))</f>
        <v/>
      </c>
      <c r="N199" s="39" t="str">
        <f>IF($B199="","",IF(G199="","",COUNTIF($G$4:$G$1000,G199)))</f>
        <v/>
      </c>
      <c r="O199" s="39" t="str">
        <f>IF($B199="","",IF(G199="","",IF(N199&gt;1,"DUP","unique")))</f>
        <v/>
      </c>
      <c r="P199" s="39" t="str">
        <f>IF($B199="","",IF(K199="","",COUNTIF($K$4:$K$1000,K199)))</f>
        <v/>
      </c>
      <c r="Q199" s="39"/>
      <c r="R199" s="39"/>
      <c r="S199" s="39"/>
      <c r="X199" t="str">
        <f t="shared" si="27"/>
        <v/>
      </c>
    </row>
    <row r="200" spans="1:24" x14ac:dyDescent="0.2">
      <c r="A200" s="39"/>
      <c r="B200" s="39"/>
      <c r="C200" s="39"/>
      <c r="D200" s="39"/>
      <c r="E200" s="39"/>
      <c r="F200" s="39"/>
      <c r="G200" s="39"/>
      <c r="H200" s="39" t="str">
        <f>IF($B200="","",IF(E200="","N","Y"))</f>
        <v/>
      </c>
      <c r="I200" s="39" t="str">
        <f>IF($B200="","",IF(ISNUMBER(SEARCH("NOIZYANTHROPIC",B200&amp;C200)),"NOIZYANTHROPIC",IF(ISNUMBER(SEARCH("METABEAST",B200&amp;C200)),"METABEAST",IF(ISNUMBER(SEARCH("META",B200&amp;C200)),"METABEAST",IF(ISNUMBER(SEARCH("NOIZYBEAST",B200&amp;C200)),"NOIZYBEAST",IF(ISNUMBER(SEARCH("BEAST",B200&amp;C200)),"NOIZYBEAST",IF(ISNUMBER(SEARCH("NA_",B200&amp;C200)),"NOIZYANTHROPIC",IF(ISNUMBER(SEARCH("NB_",B200&amp;C200)),"NOIZYBEAST",IF(ISNUMBER(SEARCH("MB_",B200&amp;C200)),"METABEAST","—")))))))))</f>
        <v/>
      </c>
      <c r="J200" s="39" t="str">
        <f>IF($B200="","",IF(OR(ISNUMBER(SEARCH("NOIZYANTHROPIC",B200&amp;C200)),ISNUMBER(SEARCH("METABEAST",B200&amp;C200)),ISNUMBER(SEARCH("NOIZYBEAST",B200&amp;C200))),"High",IF(I200="—","—","Low")))</f>
        <v/>
      </c>
      <c r="K200" s="39"/>
      <c r="L200" s="39" t="str">
        <f>IF($B200="","",IF(OR(ISNUMBER(SEARCH(".wav",B200)),ISNUMBER(SEARCH(".aif",B200)),ISNUMBER(SEARCH(".flac",B200)),ISNUMBER(SEARCH(".mp3",B200)),ISNUMBER(SEARCH(".ogg",B200)),ISNUMBER(SEARCH(".caf",B200))),"Audio",IF(H200="N","Orphan-Review","Data")))</f>
        <v/>
      </c>
      <c r="M200" s="39" t="str">
        <f>IF($B200="","",IF(I200="NOIZYANTHROPIC","/Pristine/NOIZYANTHROPIC/",IF(I200="NOIZYBEAST","/Pristine/NOIZYBEAST/",IF(I200="METABEAST","/Pristine/METABEAST/","/Pristine/_UNSORTED/"))))</f>
        <v/>
      </c>
      <c r="N200" s="39" t="str">
        <f>IF($B200="","",IF(G200="","",COUNTIF($G$4:$G$1000,G200)))</f>
        <v/>
      </c>
      <c r="O200" s="39" t="str">
        <f>IF($B200="","",IF(G200="","",IF(N200&gt;1,"DUP","unique")))</f>
        <v/>
      </c>
      <c r="P200" s="39" t="str">
        <f>IF($B200="","",IF(K200="","",COUNTIF($K$4:$K$1000,K200)))</f>
        <v/>
      </c>
      <c r="Q200" s="39"/>
      <c r="R200" s="39"/>
      <c r="S200" s="39"/>
      <c r="X200" t="str">
        <f t="shared" si="27"/>
        <v/>
      </c>
    </row>
  </sheetData>
  <mergeCells count="2">
    <mergeCell ref="A1:S1"/>
    <mergeCell ref="A2:S2"/>
  </mergeCells>
  <conditionalFormatting sqref="L4:L200">
    <cfRule type="cellIs" dxfId="19" priority="2" operator="equal">
      <formula>"Orphan-Review"</formula>
    </cfRule>
  </conditionalFormatting>
  <conditionalFormatting sqref="O4:O200">
    <cfRule type="cellIs" dxfId="18" priority="1" operator="equal">
      <formula>"DUP"</formula>
    </cfRule>
  </conditionalFormatting>
  <conditionalFormatting sqref="X4:X200">
    <cfRule type="containsText" dxfId="17" priority="3" operator="containsText" text="DO NOT">
      <formula>NOT(ISERROR(SEARCH("DO NOT",X4)))</formula>
    </cfRule>
    <cfRule type="containsText" dxfId="16" priority="4" operator="containsText" text="SAFE">
      <formula>NOT(ISERROR(SEARCH("SAFE",X4)))</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DF993-32BC-4744-8A23-6F507A75B4F7}">
  <dimension ref="A1:C40"/>
  <sheetViews>
    <sheetView workbookViewId="0">
      <pane ySplit="3" topLeftCell="A4" activePane="bottomLeft" state="frozen"/>
      <selection pane="bottomLeft" sqref="A1:C1"/>
    </sheetView>
  </sheetViews>
  <sheetFormatPr baseColWidth="10" defaultRowHeight="16" x14ac:dyDescent="0.2"/>
  <cols>
    <col min="1" max="1" width="25" customWidth="1"/>
    <col min="2" max="2" width="60" customWidth="1"/>
    <col min="3" max="3" width="63.33203125" customWidth="1"/>
  </cols>
  <sheetData>
    <row r="1" spans="1:3" ht="19" x14ac:dyDescent="0.25">
      <c r="A1" s="396" t="s">
        <v>936</v>
      </c>
      <c r="B1" s="396"/>
      <c r="C1" s="396"/>
    </row>
    <row r="2" spans="1:3" x14ac:dyDescent="0.2">
      <c r="A2" s="386" t="s">
        <v>937</v>
      </c>
      <c r="B2" s="386"/>
      <c r="C2" s="386"/>
    </row>
    <row r="3" spans="1:3" x14ac:dyDescent="0.2">
      <c r="A3" s="413" t="s">
        <v>938</v>
      </c>
      <c r="B3" s="413"/>
      <c r="C3" s="413"/>
    </row>
    <row r="4" spans="1:3" x14ac:dyDescent="0.2">
      <c r="A4" s="13" t="s">
        <v>939</v>
      </c>
      <c r="B4" s="75" t="s">
        <v>738</v>
      </c>
    </row>
    <row r="5" spans="1:3" x14ac:dyDescent="0.2">
      <c r="A5" s="13" t="s">
        <v>940</v>
      </c>
      <c r="B5" s="75" t="s">
        <v>626</v>
      </c>
    </row>
    <row r="6" spans="1:3" x14ac:dyDescent="0.2">
      <c r="A6" s="13" t="s">
        <v>7</v>
      </c>
      <c r="B6" s="75" t="s">
        <v>949</v>
      </c>
    </row>
    <row r="7" spans="1:3" x14ac:dyDescent="0.2">
      <c r="A7" s="13" t="s">
        <v>941</v>
      </c>
      <c r="B7" s="75" t="s">
        <v>950</v>
      </c>
    </row>
    <row r="8" spans="1:3" x14ac:dyDescent="0.2">
      <c r="A8" s="13" t="s">
        <v>470</v>
      </c>
      <c r="B8" s="75"/>
    </row>
    <row r="9" spans="1:3" x14ac:dyDescent="0.2">
      <c r="A9" s="13" t="s">
        <v>942</v>
      </c>
      <c r="B9" s="75" t="s">
        <v>923</v>
      </c>
    </row>
    <row r="10" spans="1:3" x14ac:dyDescent="0.2">
      <c r="A10" s="13" t="s">
        <v>943</v>
      </c>
      <c r="B10" s="75"/>
    </row>
    <row r="11" spans="1:3" x14ac:dyDescent="0.2">
      <c r="A11" s="13" t="s">
        <v>944</v>
      </c>
      <c r="B11" s="75"/>
    </row>
    <row r="12" spans="1:3" x14ac:dyDescent="0.2">
      <c r="A12" s="13" t="s">
        <v>177</v>
      </c>
      <c r="B12" s="75"/>
    </row>
    <row r="13" spans="1:3" x14ac:dyDescent="0.2">
      <c r="A13" s="13" t="s">
        <v>945</v>
      </c>
      <c r="B13" s="75" t="s">
        <v>193</v>
      </c>
    </row>
    <row r="14" spans="1:3" x14ac:dyDescent="0.2">
      <c r="A14" s="13" t="s">
        <v>946</v>
      </c>
      <c r="B14" s="75"/>
    </row>
    <row r="15" spans="1:3" x14ac:dyDescent="0.2">
      <c r="A15" s="13" t="s">
        <v>947</v>
      </c>
      <c r="B15" s="75"/>
    </row>
    <row r="16" spans="1:3" x14ac:dyDescent="0.2">
      <c r="A16" s="13" t="s">
        <v>948</v>
      </c>
      <c r="B16" s="75" t="s">
        <v>951</v>
      </c>
    </row>
    <row r="18" spans="1:3" x14ac:dyDescent="0.2">
      <c r="A18" s="413" t="s">
        <v>952</v>
      </c>
      <c r="B18" s="413"/>
      <c r="C18" s="413"/>
    </row>
    <row r="19" spans="1:3" x14ac:dyDescent="0.2">
      <c r="A19" s="13" t="s">
        <v>953</v>
      </c>
      <c r="B19" s="76" t="str">
        <f>"rg -i --glob '*."&amp;IF(B13="","*",B13)&amp;"' -e "&amp;_xlfn.TEXTJOIN(" -e ",TRUE,B4,B8,B9,B6,B15)&amp;" "&amp;B16</f>
        <v>rg -i --glob '*.wav' -e NOIZYANTHROPIC -e DrumKit_Vol1 -e Kick /Volumes/Audio</v>
      </c>
    </row>
    <row r="20" spans="1:3" x14ac:dyDescent="0.2">
      <c r="A20" s="13" t="s">
        <v>954</v>
      </c>
      <c r="B20" s="76" t="str">
        <f>_xlfn.TEXTJOIN("|",TRUE,B4,B8,B9,B6,B15)</f>
        <v>NOIZYANTHROPIC|DrumKit_Vol1|Kick</v>
      </c>
    </row>
    <row r="21" spans="1:3" x14ac:dyDescent="0.2">
      <c r="A21" s="13" t="s">
        <v>955</v>
      </c>
      <c r="B21" s="76" t="str">
        <f>"find "&amp;B16&amp;" -type f"&amp;IF(B13="",""," -iname '*."&amp;B13&amp;"'")&amp;IF(B4="",""," -ipath '*"&amp;B4&amp;"*'")&amp;IF(B9="",""," -ipath '*"&amp;B9&amp;"*'")</f>
        <v>find /Volumes/Audio -type f -iname '*.wav' -ipath '*NOIZYANTHROPIC*' -ipath '*DrumKit_Vol1*'</v>
      </c>
    </row>
    <row r="22" spans="1:3" x14ac:dyDescent="0.2">
      <c r="A22" s="13" t="s">
        <v>956</v>
      </c>
      <c r="B22" s="76" t="str">
        <f>_xlfn.TEXTJOIN(" AND ",TRUE,IF(B4="","","name:"&amp;B4),IF(B5="","","tag:"&amp;B5),IF(B6="","","tag:"&amp;B6),IF(B7="","","tag:"&amp;B7),IF(B14="","","tag:"&amp;B14),IF(B8="","","kind:"&amp;B8))</f>
        <v>name:NOIZYANTHROPIC AND tag:Drums AND tag:Kick AND tag:Punchy</v>
      </c>
    </row>
    <row r="23" spans="1:3" x14ac:dyDescent="0.2">
      <c r="A23" s="13" t="s">
        <v>957</v>
      </c>
      <c r="B23" s="76" t="str">
        <f>"SELECT * FROM samples WHERE 1=1"&amp;IF(B4="",""," AND brand='"&amp;B4&amp;"'")&amp;IF(B5="",""," AND category='"&amp;B5&amp;"'")&amp;IF(B6="",""," AND subcategory='"&amp;B6&amp;"'")&amp;IF(B7="",""," AND tags LIKE '%"&amp;B7&amp;"%'")&amp;IF(B8="",""," AND vendor='"&amp;B8&amp;"'")&amp;IF(B9="",""," AND project='"&amp;B9&amp;"'")&amp;IF(B10="",""," AND bpm&gt;="&amp;B10)&amp;IF(B11="",""," AND bpm&lt;="&amp;B11)&amp;IF(B12="",""," AND key='"&amp;B12&amp;"'")&amp;IF(B13="",""," AND ext='"&amp;B13&amp;"'")&amp;IF(B14="",""," AND license='"&amp;B14&amp;"'")</f>
        <v>SELECT * FROM samples WHERE 1=1 AND brand='NOIZYANTHROPIC' AND category='Drums' AND subcategory='Kick' AND tags LIKE '%Punchy%' AND project='DrumKit_Vol1' AND ext='wav'</v>
      </c>
    </row>
    <row r="24" spans="1:3" x14ac:dyDescent="0.2">
      <c r="A24" s="13" t="s">
        <v>958</v>
      </c>
      <c r="B24" s="76" t="str">
        <f>_xlfn.TEXTJOIN(" ",TRUE,B4,B6,B7,B15)</f>
        <v>NOIZYANTHROPIC Kick Punchy</v>
      </c>
    </row>
    <row r="25" spans="1:3" x14ac:dyDescent="0.2">
      <c r="A25" s="13" t="s">
        <v>959</v>
      </c>
      <c r="B25" s="76" t="str">
        <f>"mdfind -onlyin "&amp;B16&amp;" "&amp;CHAR(34)&amp;_xlfn.TEXTJOIN(" &amp;&amp; ",TRUE,IF(B15="","","kMDItemTextContent == '*"&amp;B15&amp;"*'"),IF(B4="","","kMDItemFSName == '*"&amp;B4&amp;"*'"))&amp;CHAR(34)</f>
        <v>mdfind -onlyin /Volumes/Audio "kMDItemFSName == '*NOIZYANTHROPIC*'"</v>
      </c>
    </row>
    <row r="27" spans="1:3" x14ac:dyDescent="0.2">
      <c r="A27" s="414" t="s">
        <v>960</v>
      </c>
      <c r="B27" s="414"/>
      <c r="C27" s="414"/>
    </row>
    <row r="28" spans="1:3" x14ac:dyDescent="0.2">
      <c r="A28" s="77" t="s">
        <v>961</v>
      </c>
      <c r="B28" s="77" t="s">
        <v>962</v>
      </c>
      <c r="C28" s="77" t="s">
        <v>963</v>
      </c>
    </row>
    <row r="29" spans="1:3" x14ac:dyDescent="0.2">
      <c r="A29" s="78" t="s">
        <v>964</v>
      </c>
      <c r="B29" s="78" t="s">
        <v>965</v>
      </c>
      <c r="C29" s="79" t="s">
        <v>966</v>
      </c>
    </row>
    <row r="30" spans="1:3" x14ac:dyDescent="0.2">
      <c r="A30" s="78" t="s">
        <v>967</v>
      </c>
      <c r="B30" s="78" t="s">
        <v>968</v>
      </c>
      <c r="C30" s="79" t="s">
        <v>969</v>
      </c>
    </row>
    <row r="31" spans="1:3" x14ac:dyDescent="0.2">
      <c r="A31" s="78" t="s">
        <v>970</v>
      </c>
      <c r="B31" s="78" t="s">
        <v>971</v>
      </c>
      <c r="C31" s="79" t="s">
        <v>972</v>
      </c>
    </row>
    <row r="32" spans="1:3" x14ac:dyDescent="0.2">
      <c r="A32" s="78" t="s">
        <v>973</v>
      </c>
      <c r="B32" s="78" t="s">
        <v>974</v>
      </c>
      <c r="C32" s="79" t="s">
        <v>975</v>
      </c>
    </row>
    <row r="33" spans="1:3" x14ac:dyDescent="0.2">
      <c r="A33" s="78" t="s">
        <v>976</v>
      </c>
      <c r="B33" s="78" t="s">
        <v>977</v>
      </c>
      <c r="C33" s="79" t="s">
        <v>978</v>
      </c>
    </row>
    <row r="34" spans="1:3" x14ac:dyDescent="0.2">
      <c r="A34" s="78" t="s">
        <v>979</v>
      </c>
      <c r="B34" s="78" t="s">
        <v>980</v>
      </c>
      <c r="C34" s="79" t="s">
        <v>981</v>
      </c>
    </row>
    <row r="35" spans="1:3" x14ac:dyDescent="0.2">
      <c r="A35" s="78" t="s">
        <v>982</v>
      </c>
      <c r="B35" s="78" t="s">
        <v>983</v>
      </c>
      <c r="C35" s="79" t="s">
        <v>984</v>
      </c>
    </row>
    <row r="36" spans="1:3" x14ac:dyDescent="0.2">
      <c r="A36" s="78" t="s">
        <v>985</v>
      </c>
      <c r="B36" s="78" t="s">
        <v>986</v>
      </c>
      <c r="C36" s="79" t="s">
        <v>987</v>
      </c>
    </row>
    <row r="37" spans="1:3" x14ac:dyDescent="0.2">
      <c r="A37" s="78" t="s">
        <v>988</v>
      </c>
      <c r="B37" s="78" t="s">
        <v>989</v>
      </c>
      <c r="C37" s="79" t="s">
        <v>990</v>
      </c>
    </row>
    <row r="38" spans="1:3" x14ac:dyDescent="0.2">
      <c r="A38" s="78" t="s">
        <v>991</v>
      </c>
      <c r="B38" s="78" t="s">
        <v>992</v>
      </c>
      <c r="C38" s="79" t="s">
        <v>993</v>
      </c>
    </row>
    <row r="39" spans="1:3" x14ac:dyDescent="0.2">
      <c r="A39" s="78" t="s">
        <v>994</v>
      </c>
      <c r="B39" s="78" t="s">
        <v>995</v>
      </c>
      <c r="C39" s="79" t="s">
        <v>996</v>
      </c>
    </row>
    <row r="40" spans="1:3" x14ac:dyDescent="0.2">
      <c r="A40" s="78" t="s">
        <v>997</v>
      </c>
      <c r="B40" s="78" t="s">
        <v>998</v>
      </c>
      <c r="C40" s="79" t="s">
        <v>999</v>
      </c>
    </row>
  </sheetData>
  <mergeCells count="5">
    <mergeCell ref="A1:C1"/>
    <mergeCell ref="A2:C2"/>
    <mergeCell ref="A3:C3"/>
    <mergeCell ref="A18:C18"/>
    <mergeCell ref="A27:C27"/>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CF4D9-3F74-504E-81DD-226943FE6C69}">
  <dimension ref="A1:H24"/>
  <sheetViews>
    <sheetView workbookViewId="0"/>
  </sheetViews>
  <sheetFormatPr baseColWidth="10" defaultRowHeight="16" x14ac:dyDescent="0.2"/>
  <cols>
    <col min="1" max="1" width="2.6640625" customWidth="1"/>
    <col min="2" max="9" width="15.33203125" customWidth="1"/>
  </cols>
  <sheetData>
    <row r="1" spans="1:8" ht="22" customHeight="1" x14ac:dyDescent="0.25">
      <c r="A1" s="87" t="s">
        <v>1228</v>
      </c>
    </row>
    <row r="2" spans="1:8" ht="22" customHeight="1" x14ac:dyDescent="0.2">
      <c r="A2" s="88" t="s">
        <v>1229</v>
      </c>
    </row>
    <row r="4" spans="1:8" x14ac:dyDescent="0.2">
      <c r="A4" s="2" t="s">
        <v>1230</v>
      </c>
    </row>
    <row r="5" spans="1:8" x14ac:dyDescent="0.2">
      <c r="B5" s="89" t="s">
        <v>1231</v>
      </c>
      <c r="D5" s="89" t="s">
        <v>1232</v>
      </c>
      <c r="F5" s="89" t="s">
        <v>1233</v>
      </c>
      <c r="H5" s="89" t="s">
        <v>1005</v>
      </c>
    </row>
    <row r="6" spans="1:8" ht="34" x14ac:dyDescent="0.4">
      <c r="B6" s="90">
        <f>'Scan Queue'!V2</f>
        <v>4</v>
      </c>
      <c r="D6" s="90">
        <f>'Scan Queue'!V7</f>
        <v>3</v>
      </c>
      <c r="F6" s="91">
        <f>'Scan Queue'!V8</f>
        <v>1</v>
      </c>
      <c r="H6" s="92">
        <f>'Scan Queue'!V9</f>
        <v>2</v>
      </c>
    </row>
    <row r="8" spans="1:8" x14ac:dyDescent="0.2">
      <c r="A8" s="2" t="s">
        <v>1234</v>
      </c>
    </row>
    <row r="9" spans="1:8" x14ac:dyDescent="0.2">
      <c r="B9" s="93" t="s">
        <v>738</v>
      </c>
      <c r="D9" s="5" t="s">
        <v>747</v>
      </c>
      <c r="F9" s="94" t="s">
        <v>755</v>
      </c>
      <c r="H9" s="95" t="s">
        <v>1235</v>
      </c>
    </row>
    <row r="10" spans="1:8" ht="29" x14ac:dyDescent="0.35">
      <c r="B10" s="96">
        <f>'Scan Queue'!V3</f>
        <v>2</v>
      </c>
      <c r="D10" s="97">
        <f>'Scan Queue'!V4</f>
        <v>0</v>
      </c>
      <c r="F10" s="98">
        <f>'Scan Queue'!V5</f>
        <v>1</v>
      </c>
      <c r="H10" s="99">
        <f>'Scan Queue'!V6</f>
        <v>1</v>
      </c>
    </row>
    <row r="12" spans="1:8" x14ac:dyDescent="0.2">
      <c r="A12" s="2" t="s">
        <v>1236</v>
      </c>
    </row>
    <row r="13" spans="1:8" x14ac:dyDescent="0.2">
      <c r="B13" s="89" t="s">
        <v>1237</v>
      </c>
      <c r="D13" s="89" t="s">
        <v>32</v>
      </c>
      <c r="F13" s="89" t="s">
        <v>34</v>
      </c>
    </row>
    <row r="14" spans="1:8" ht="29" x14ac:dyDescent="0.35">
      <c r="B14" s="100">
        <f>'Library Index'!AA2</f>
        <v>20</v>
      </c>
      <c r="D14" s="100">
        <f>'Library Index'!AA3</f>
        <v>20</v>
      </c>
      <c r="F14" s="101">
        <f>'Library Index'!AA4</f>
        <v>20</v>
      </c>
    </row>
    <row r="16" spans="1:8" x14ac:dyDescent="0.2">
      <c r="A16" s="2" t="s">
        <v>1238</v>
      </c>
    </row>
    <row r="17" spans="1:8" x14ac:dyDescent="0.2">
      <c r="B17" s="89" t="s">
        <v>1239</v>
      </c>
      <c r="D17" s="89" t="s">
        <v>1005</v>
      </c>
      <c r="F17" s="89" t="s">
        <v>893</v>
      </c>
      <c r="H17" s="89" t="s">
        <v>1240</v>
      </c>
    </row>
    <row r="18" spans="1:8" ht="29" x14ac:dyDescent="0.35">
      <c r="B18" s="100">
        <f>Integrity!AA2</f>
        <v>5</v>
      </c>
      <c r="D18" s="102">
        <f>Integrity!AA3</f>
        <v>1</v>
      </c>
      <c r="F18" s="102">
        <f>Integrity!AA4</f>
        <v>1</v>
      </c>
      <c r="H18" s="103">
        <f>Integrity!AA5</f>
        <v>1</v>
      </c>
    </row>
    <row r="19" spans="1:8" x14ac:dyDescent="0.2">
      <c r="B19" s="89" t="s">
        <v>876</v>
      </c>
    </row>
    <row r="20" spans="1:8" ht="29" x14ac:dyDescent="0.35">
      <c r="B20" s="104">
        <f>Integrity!AA6</f>
        <v>3</v>
      </c>
    </row>
    <row r="22" spans="1:8" x14ac:dyDescent="0.2">
      <c r="A22" s="2" t="s">
        <v>1241</v>
      </c>
    </row>
    <row r="23" spans="1:8" x14ac:dyDescent="0.2">
      <c r="B23" s="89" t="s">
        <v>813</v>
      </c>
      <c r="D23" s="89" t="s">
        <v>814</v>
      </c>
      <c r="F23" s="89" t="s">
        <v>815</v>
      </c>
      <c r="H23" s="89" t="s">
        <v>816</v>
      </c>
    </row>
    <row r="24" spans="1:8" ht="24" x14ac:dyDescent="0.3">
      <c r="B24" s="105">
        <f>Distribution!F11</f>
        <v>126000</v>
      </c>
      <c r="D24" s="105">
        <f>Distribution!G11</f>
        <v>0</v>
      </c>
      <c r="F24" s="106">
        <f>Distribution!H11</f>
        <v>126000</v>
      </c>
      <c r="H24" s="107">
        <f>IF(Distribution!F11=0,0,Distribution!G11/Distribution!F11)</f>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A21F1-21F5-A947-928B-5F5068B1AB2B}">
  <dimension ref="A1:R13"/>
  <sheetViews>
    <sheetView workbookViewId="0">
      <pane ySplit="3" topLeftCell="A4" activePane="bottomLeft" state="frozen"/>
      <selection pane="bottomLeft"/>
    </sheetView>
  </sheetViews>
  <sheetFormatPr baseColWidth="10" defaultRowHeight="16" x14ac:dyDescent="0.2"/>
  <cols>
    <col min="1" max="1" width="9.6640625" customWidth="1"/>
    <col min="2" max="2" width="11.6640625" customWidth="1"/>
    <col min="3" max="3" width="28.33203125" customWidth="1"/>
    <col min="4" max="5" width="18.33203125" customWidth="1"/>
    <col min="18" max="18" width="40" customWidth="1"/>
  </cols>
  <sheetData>
    <row r="1" spans="1:18" ht="19" x14ac:dyDescent="0.25">
      <c r="A1" s="1" t="s">
        <v>1245</v>
      </c>
    </row>
    <row r="2" spans="1:18" x14ac:dyDescent="0.2">
      <c r="A2" s="69" t="s">
        <v>1246</v>
      </c>
    </row>
    <row r="3" spans="1:18" x14ac:dyDescent="0.2">
      <c r="A3" s="46" t="s">
        <v>1247</v>
      </c>
      <c r="B3" s="46" t="s">
        <v>1248</v>
      </c>
      <c r="C3" s="46" t="s">
        <v>1249</v>
      </c>
      <c r="D3" s="46" t="s">
        <v>9</v>
      </c>
      <c r="E3" s="46" t="s">
        <v>1250</v>
      </c>
      <c r="F3" s="46" t="s">
        <v>1251</v>
      </c>
      <c r="G3" s="46" t="s">
        <v>1252</v>
      </c>
      <c r="H3" s="46" t="s">
        <v>1253</v>
      </c>
      <c r="I3" s="46" t="s">
        <v>1254</v>
      </c>
      <c r="J3" s="46" t="s">
        <v>1255</v>
      </c>
      <c r="K3" s="46" t="s">
        <v>1256</v>
      </c>
      <c r="L3" s="46" t="s">
        <v>1257</v>
      </c>
      <c r="M3" s="46" t="s">
        <v>1258</v>
      </c>
      <c r="N3" s="46" t="s">
        <v>1259</v>
      </c>
      <c r="O3" s="46" t="s">
        <v>1260</v>
      </c>
      <c r="P3" s="46" t="s">
        <v>1261</v>
      </c>
      <c r="Q3" s="46" t="s">
        <v>18</v>
      </c>
      <c r="R3" s="46" t="s">
        <v>24</v>
      </c>
    </row>
    <row r="4" spans="1:18" x14ac:dyDescent="0.2">
      <c r="A4" s="47" t="s">
        <v>1262</v>
      </c>
      <c r="B4" s="47" t="s">
        <v>737</v>
      </c>
      <c r="C4" s="47" t="s">
        <v>1263</v>
      </c>
      <c r="D4" s="47" t="s">
        <v>1264</v>
      </c>
      <c r="E4" s="47" t="s">
        <v>738</v>
      </c>
      <c r="F4" s="47" t="s">
        <v>33</v>
      </c>
      <c r="G4" s="47" t="s">
        <v>33</v>
      </c>
      <c r="H4" s="108" t="s">
        <v>33</v>
      </c>
      <c r="I4" s="47" t="s">
        <v>203</v>
      </c>
      <c r="J4" s="47" t="s">
        <v>33</v>
      </c>
      <c r="K4" s="47" t="s">
        <v>1265</v>
      </c>
      <c r="L4" s="47" t="s">
        <v>1266</v>
      </c>
      <c r="M4" s="47" t="s">
        <v>835</v>
      </c>
      <c r="N4" s="108" t="s">
        <v>1267</v>
      </c>
      <c r="O4" s="47" t="s">
        <v>1268</v>
      </c>
      <c r="P4" s="47" t="s">
        <v>1269</v>
      </c>
      <c r="Q4" s="47" t="s">
        <v>835</v>
      </c>
      <c r="R4" s="47" t="s">
        <v>1270</v>
      </c>
    </row>
    <row r="5" spans="1:18" x14ac:dyDescent="0.2">
      <c r="A5" s="47" t="s">
        <v>1271</v>
      </c>
      <c r="B5" s="47" t="s">
        <v>746</v>
      </c>
      <c r="C5" s="47" t="s">
        <v>1272</v>
      </c>
      <c r="D5" s="47" t="s">
        <v>1264</v>
      </c>
      <c r="E5" s="47" t="s">
        <v>747</v>
      </c>
      <c r="F5" s="47" t="s">
        <v>33</v>
      </c>
      <c r="G5" s="47" t="s">
        <v>33</v>
      </c>
      <c r="H5" s="108" t="s">
        <v>33</v>
      </c>
      <c r="I5" s="47" t="s">
        <v>203</v>
      </c>
      <c r="J5" s="47" t="s">
        <v>33</v>
      </c>
      <c r="K5" s="47" t="s">
        <v>1265</v>
      </c>
      <c r="L5" s="47" t="s">
        <v>1266</v>
      </c>
      <c r="M5" s="47" t="s">
        <v>835</v>
      </c>
      <c r="N5" s="108" t="s">
        <v>1267</v>
      </c>
      <c r="O5" s="47" t="s">
        <v>1268</v>
      </c>
      <c r="P5" s="47" t="s">
        <v>1269</v>
      </c>
      <c r="Q5" s="47" t="s">
        <v>835</v>
      </c>
      <c r="R5" s="47" t="s">
        <v>1270</v>
      </c>
    </row>
    <row r="6" spans="1:18" x14ac:dyDescent="0.2">
      <c r="A6" s="47" t="s">
        <v>1273</v>
      </c>
      <c r="B6" s="47" t="s">
        <v>754</v>
      </c>
      <c r="C6" s="47" t="s">
        <v>1274</v>
      </c>
      <c r="D6" s="47" t="s">
        <v>1264</v>
      </c>
      <c r="E6" s="47" t="s">
        <v>755</v>
      </c>
      <c r="F6" s="47" t="s">
        <v>33</v>
      </c>
      <c r="G6" s="47" t="s">
        <v>33</v>
      </c>
      <c r="H6" s="108" t="s">
        <v>33</v>
      </c>
      <c r="I6" s="47" t="s">
        <v>203</v>
      </c>
      <c r="J6" s="47" t="s">
        <v>33</v>
      </c>
      <c r="K6" s="47" t="s">
        <v>1265</v>
      </c>
      <c r="L6" s="47" t="s">
        <v>1266</v>
      </c>
      <c r="M6" s="47" t="s">
        <v>835</v>
      </c>
      <c r="N6" s="108" t="s">
        <v>1267</v>
      </c>
      <c r="O6" s="47" t="s">
        <v>1268</v>
      </c>
      <c r="P6" s="47" t="s">
        <v>1269</v>
      </c>
      <c r="Q6" s="47" t="s">
        <v>835</v>
      </c>
      <c r="R6" s="47" t="s">
        <v>1270</v>
      </c>
    </row>
    <row r="7" spans="1:18" x14ac:dyDescent="0.2">
      <c r="A7" s="47" t="s">
        <v>1275</v>
      </c>
      <c r="B7" s="47" t="s">
        <v>25</v>
      </c>
      <c r="C7" s="47" t="s">
        <v>1276</v>
      </c>
      <c r="D7" s="47" t="s">
        <v>1277</v>
      </c>
      <c r="E7" s="47" t="s">
        <v>27</v>
      </c>
      <c r="F7" s="47" t="s">
        <v>33</v>
      </c>
      <c r="G7" s="47" t="s">
        <v>203</v>
      </c>
      <c r="H7" s="110" t="s">
        <v>203</v>
      </c>
      <c r="I7" s="47" t="s">
        <v>203</v>
      </c>
      <c r="J7" s="47" t="s">
        <v>203</v>
      </c>
      <c r="K7" s="47" t="s">
        <v>1265</v>
      </c>
      <c r="L7" s="47" t="s">
        <v>1266</v>
      </c>
      <c r="M7" s="47" t="s">
        <v>1278</v>
      </c>
      <c r="N7" s="108" t="s">
        <v>1267</v>
      </c>
      <c r="O7" s="47" t="s">
        <v>1279</v>
      </c>
      <c r="P7" s="47" t="s">
        <v>27</v>
      </c>
      <c r="Q7" s="65">
        <v>45078</v>
      </c>
      <c r="R7" s="47" t="s">
        <v>1280</v>
      </c>
    </row>
    <row r="8" spans="1:18" x14ac:dyDescent="0.2">
      <c r="A8" s="47" t="s">
        <v>1281</v>
      </c>
      <c r="B8" s="47" t="s">
        <v>55</v>
      </c>
      <c r="C8" s="47" t="s">
        <v>56</v>
      </c>
      <c r="D8" s="47" t="s">
        <v>62</v>
      </c>
      <c r="E8" s="47" t="s">
        <v>57</v>
      </c>
      <c r="F8" s="47" t="s">
        <v>33</v>
      </c>
      <c r="G8" s="47" t="s">
        <v>203</v>
      </c>
      <c r="H8" s="110" t="s">
        <v>203</v>
      </c>
      <c r="I8" s="47" t="s">
        <v>203</v>
      </c>
      <c r="J8" s="47" t="s">
        <v>203</v>
      </c>
      <c r="K8" s="47" t="s">
        <v>1265</v>
      </c>
      <c r="L8" s="47" t="s">
        <v>1266</v>
      </c>
      <c r="M8" s="47" t="s">
        <v>1278</v>
      </c>
      <c r="N8" s="108" t="s">
        <v>1267</v>
      </c>
      <c r="O8" s="47" t="s">
        <v>1282</v>
      </c>
      <c r="P8" s="47" t="s">
        <v>57</v>
      </c>
      <c r="Q8" s="65">
        <v>45184</v>
      </c>
      <c r="R8" s="47" t="s">
        <v>1283</v>
      </c>
    </row>
    <row r="9" spans="1:18" x14ac:dyDescent="0.2">
      <c r="A9" s="47" t="s">
        <v>1284</v>
      </c>
      <c r="B9" s="47" t="s">
        <v>78</v>
      </c>
      <c r="C9" s="47" t="s">
        <v>1285</v>
      </c>
      <c r="D9" s="47" t="s">
        <v>128</v>
      </c>
      <c r="E9" s="47" t="s">
        <v>80</v>
      </c>
      <c r="F9" s="47" t="s">
        <v>33</v>
      </c>
      <c r="G9" s="47" t="s">
        <v>203</v>
      </c>
      <c r="H9" s="110" t="s">
        <v>203</v>
      </c>
      <c r="I9" s="47" t="s">
        <v>203</v>
      </c>
      <c r="J9" s="47" t="s">
        <v>203</v>
      </c>
      <c r="K9" s="47" t="s">
        <v>1265</v>
      </c>
      <c r="L9" s="47" t="s">
        <v>1286</v>
      </c>
      <c r="M9" s="47" t="s">
        <v>1287</v>
      </c>
      <c r="N9" s="109" t="s">
        <v>1288</v>
      </c>
      <c r="O9" s="47" t="s">
        <v>1289</v>
      </c>
      <c r="P9" s="47" t="s">
        <v>80</v>
      </c>
      <c r="Q9" s="47" t="s">
        <v>1290</v>
      </c>
      <c r="R9" s="47" t="s">
        <v>1291</v>
      </c>
    </row>
    <row r="10" spans="1:18" x14ac:dyDescent="0.2">
      <c r="A10" s="47" t="s">
        <v>1292</v>
      </c>
      <c r="B10" s="47" t="s">
        <v>92</v>
      </c>
      <c r="C10" s="47" t="s">
        <v>1293</v>
      </c>
      <c r="D10" s="47" t="s">
        <v>62</v>
      </c>
      <c r="E10" s="47" t="s">
        <v>94</v>
      </c>
      <c r="F10" s="47" t="s">
        <v>33</v>
      </c>
      <c r="G10" s="47" t="s">
        <v>203</v>
      </c>
      <c r="H10" s="110" t="s">
        <v>203</v>
      </c>
      <c r="I10" s="47" t="s">
        <v>203</v>
      </c>
      <c r="J10" s="47" t="s">
        <v>203</v>
      </c>
      <c r="K10" s="47" t="s">
        <v>1265</v>
      </c>
      <c r="L10" s="47" t="s">
        <v>1266</v>
      </c>
      <c r="M10" s="47" t="s">
        <v>1294</v>
      </c>
      <c r="N10" s="108" t="s">
        <v>1267</v>
      </c>
      <c r="O10" s="47" t="s">
        <v>1295</v>
      </c>
      <c r="P10" s="47" t="s">
        <v>94</v>
      </c>
      <c r="Q10" s="65">
        <v>45311</v>
      </c>
      <c r="R10" s="47" t="s">
        <v>1296</v>
      </c>
    </row>
    <row r="11" spans="1:18" x14ac:dyDescent="0.2">
      <c r="A11" s="47" t="s">
        <v>1297</v>
      </c>
      <c r="B11" s="47" t="s">
        <v>1298</v>
      </c>
      <c r="C11" s="47" t="s">
        <v>1299</v>
      </c>
      <c r="D11" s="47" t="s">
        <v>1300</v>
      </c>
      <c r="E11" s="47" t="s">
        <v>1301</v>
      </c>
      <c r="F11" s="47" t="s">
        <v>33</v>
      </c>
      <c r="G11" s="47" t="s">
        <v>203</v>
      </c>
      <c r="H11" s="110" t="s">
        <v>203</v>
      </c>
      <c r="I11" s="47" t="s">
        <v>203</v>
      </c>
      <c r="J11" s="47" t="s">
        <v>33</v>
      </c>
      <c r="K11" s="47" t="s">
        <v>1302</v>
      </c>
      <c r="L11" s="47" t="s">
        <v>1302</v>
      </c>
      <c r="M11" s="47" t="s">
        <v>1303</v>
      </c>
      <c r="N11" s="110" t="s">
        <v>1304</v>
      </c>
      <c r="O11" s="47" t="s">
        <v>1305</v>
      </c>
      <c r="P11" s="47" t="s">
        <v>764</v>
      </c>
      <c r="Q11" s="47" t="s">
        <v>1306</v>
      </c>
      <c r="R11" s="47" t="s">
        <v>1307</v>
      </c>
    </row>
    <row r="13" spans="1:18" x14ac:dyDescent="0.2">
      <c r="A13" s="111" t="s">
        <v>1308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78FD7-2FC0-E04C-B326-425ABF14E5C7}">
  <dimension ref="A1:C71"/>
  <sheetViews>
    <sheetView workbookViewId="0">
      <pane ySplit="3" topLeftCell="A4" activePane="bottomLeft" state="frozen"/>
      <selection pane="bottomLeft"/>
    </sheetView>
  </sheetViews>
  <sheetFormatPr baseColWidth="10" defaultRowHeight="16" x14ac:dyDescent="0.2"/>
  <cols>
    <col min="1" max="1" width="25" customWidth="1"/>
    <col min="2" max="2" width="71.6640625" customWidth="1"/>
    <col min="3" max="3" width="38.33203125" customWidth="1"/>
  </cols>
  <sheetData>
    <row r="1" spans="1:3" ht="21" x14ac:dyDescent="0.2">
      <c r="A1" s="113" t="s">
        <v>1309</v>
      </c>
      <c r="B1" s="114"/>
      <c r="C1" s="114"/>
    </row>
    <row r="2" spans="1:3" x14ac:dyDescent="0.2">
      <c r="A2" s="416" t="s">
        <v>1310</v>
      </c>
      <c r="B2" s="416"/>
      <c r="C2" s="416"/>
    </row>
    <row r="3" spans="1:3" x14ac:dyDescent="0.2">
      <c r="A3" s="114"/>
      <c r="B3" s="114"/>
      <c r="C3" s="114"/>
    </row>
    <row r="4" spans="1:3" x14ac:dyDescent="0.2">
      <c r="A4" s="115" t="s">
        <v>1311</v>
      </c>
      <c r="B4" s="114"/>
      <c r="C4" s="114"/>
    </row>
    <row r="5" spans="1:3" ht="323" customHeight="1" x14ac:dyDescent="0.2">
      <c r="A5" s="415" t="s">
        <v>1312</v>
      </c>
      <c r="B5" s="415"/>
      <c r="C5" s="415"/>
    </row>
    <row r="6" spans="1:3" x14ac:dyDescent="0.2">
      <c r="A6" s="114"/>
      <c r="B6" s="114"/>
      <c r="C6" s="114"/>
    </row>
    <row r="7" spans="1:3" x14ac:dyDescent="0.2">
      <c r="A7" s="115" t="s">
        <v>1313</v>
      </c>
      <c r="B7" s="114"/>
      <c r="C7" s="114"/>
    </row>
    <row r="8" spans="1:3" x14ac:dyDescent="0.2">
      <c r="A8" s="117" t="s">
        <v>1314</v>
      </c>
      <c r="B8" s="117" t="s">
        <v>1315</v>
      </c>
      <c r="C8" s="117" t="s">
        <v>1316</v>
      </c>
    </row>
    <row r="9" spans="1:3" ht="51" x14ac:dyDescent="0.2">
      <c r="A9" s="118" t="s">
        <v>1317</v>
      </c>
      <c r="B9" s="119" t="s">
        <v>1318</v>
      </c>
      <c r="C9" s="119" t="s">
        <v>1319</v>
      </c>
    </row>
    <row r="10" spans="1:3" ht="51" x14ac:dyDescent="0.2">
      <c r="A10" s="118" t="s">
        <v>1320</v>
      </c>
      <c r="B10" s="119" t="s">
        <v>1321</v>
      </c>
      <c r="C10" s="119" t="s">
        <v>1322</v>
      </c>
    </row>
    <row r="11" spans="1:3" ht="34" x14ac:dyDescent="0.2">
      <c r="A11" s="118" t="s">
        <v>1323</v>
      </c>
      <c r="B11" s="119" t="s">
        <v>1324</v>
      </c>
      <c r="C11" s="119" t="s">
        <v>1325</v>
      </c>
    </row>
    <row r="12" spans="1:3" ht="34" x14ac:dyDescent="0.2">
      <c r="A12" s="118" t="s">
        <v>1326</v>
      </c>
      <c r="B12" s="119" t="s">
        <v>1327</v>
      </c>
      <c r="C12" s="119" t="s">
        <v>1328</v>
      </c>
    </row>
    <row r="13" spans="1:3" ht="34" x14ac:dyDescent="0.2">
      <c r="A13" s="118" t="s">
        <v>1329</v>
      </c>
      <c r="B13" s="119" t="s">
        <v>1330</v>
      </c>
      <c r="C13" s="119" t="s">
        <v>1331</v>
      </c>
    </row>
    <row r="14" spans="1:3" ht="17" x14ac:dyDescent="0.2">
      <c r="A14" s="118" t="s">
        <v>1332</v>
      </c>
      <c r="B14" s="119" t="s">
        <v>1333</v>
      </c>
      <c r="C14" s="119" t="s">
        <v>1334</v>
      </c>
    </row>
    <row r="15" spans="1:3" ht="34" x14ac:dyDescent="0.2">
      <c r="A15" s="118" t="s">
        <v>1335</v>
      </c>
      <c r="B15" s="119" t="s">
        <v>1336</v>
      </c>
      <c r="C15" s="119" t="s">
        <v>1337</v>
      </c>
    </row>
    <row r="16" spans="1:3" ht="34" x14ac:dyDescent="0.2">
      <c r="A16" s="118" t="s">
        <v>1338</v>
      </c>
      <c r="B16" s="119" t="s">
        <v>1339</v>
      </c>
      <c r="C16" s="119" t="s">
        <v>1340</v>
      </c>
    </row>
    <row r="17" spans="1:3" ht="51" x14ac:dyDescent="0.2">
      <c r="A17" s="118" t="s">
        <v>1341</v>
      </c>
      <c r="B17" s="119" t="s">
        <v>1342</v>
      </c>
      <c r="C17" s="119" t="s">
        <v>1343</v>
      </c>
    </row>
    <row r="18" spans="1:3" ht="34" x14ac:dyDescent="0.2">
      <c r="A18" s="118" t="s">
        <v>1344</v>
      </c>
      <c r="B18" s="119" t="s">
        <v>1345</v>
      </c>
      <c r="C18" s="119" t="s">
        <v>1346</v>
      </c>
    </row>
    <row r="19" spans="1:3" ht="17" x14ac:dyDescent="0.2">
      <c r="A19" s="118" t="s">
        <v>1347</v>
      </c>
      <c r="B19" s="119" t="s">
        <v>1348</v>
      </c>
      <c r="C19" s="119" t="s">
        <v>1349</v>
      </c>
    </row>
    <row r="20" spans="1:3" ht="34" x14ac:dyDescent="0.2">
      <c r="A20" s="118" t="s">
        <v>1350</v>
      </c>
      <c r="B20" s="119" t="s">
        <v>1351</v>
      </c>
      <c r="C20" s="119" t="s">
        <v>1352</v>
      </c>
    </row>
    <row r="21" spans="1:3" ht="51" x14ac:dyDescent="0.2">
      <c r="A21" s="118" t="s">
        <v>1353</v>
      </c>
      <c r="B21" s="119" t="s">
        <v>1354</v>
      </c>
      <c r="C21" s="119" t="s">
        <v>1355</v>
      </c>
    </row>
    <row r="22" spans="1:3" ht="34" x14ac:dyDescent="0.2">
      <c r="A22" s="118" t="s">
        <v>1356</v>
      </c>
      <c r="B22" s="119" t="s">
        <v>1357</v>
      </c>
      <c r="C22" s="119" t="s">
        <v>1358</v>
      </c>
    </row>
    <row r="23" spans="1:3" x14ac:dyDescent="0.2">
      <c r="A23" s="114"/>
      <c r="B23" s="114"/>
      <c r="C23" s="114"/>
    </row>
    <row r="24" spans="1:3" x14ac:dyDescent="0.2">
      <c r="A24" s="115" t="s">
        <v>1359</v>
      </c>
      <c r="B24" s="114"/>
      <c r="C24" s="114"/>
    </row>
    <row r="25" spans="1:3" x14ac:dyDescent="0.2">
      <c r="A25" s="117" t="s">
        <v>189</v>
      </c>
      <c r="B25" s="117" t="s">
        <v>1360</v>
      </c>
      <c r="C25" s="117" t="s">
        <v>1361</v>
      </c>
    </row>
    <row r="26" spans="1:3" ht="17" x14ac:dyDescent="0.2">
      <c r="A26" s="118" t="s">
        <v>1362</v>
      </c>
      <c r="B26" s="119" t="s">
        <v>1363</v>
      </c>
      <c r="C26" s="119" t="s">
        <v>877</v>
      </c>
    </row>
    <row r="27" spans="1:3" ht="17" x14ac:dyDescent="0.2">
      <c r="A27" s="118" t="s">
        <v>1364</v>
      </c>
      <c r="B27" s="119" t="s">
        <v>1365</v>
      </c>
      <c r="C27" s="119" t="s">
        <v>877</v>
      </c>
    </row>
    <row r="28" spans="1:3" ht="17" x14ac:dyDescent="0.2">
      <c r="A28" s="118" t="s">
        <v>1366</v>
      </c>
      <c r="B28" s="119" t="s">
        <v>1367</v>
      </c>
      <c r="C28" s="119" t="s">
        <v>1368</v>
      </c>
    </row>
    <row r="29" spans="1:3" ht="17" x14ac:dyDescent="0.2">
      <c r="A29" s="118" t="s">
        <v>1369</v>
      </c>
      <c r="B29" s="119" t="s">
        <v>1370</v>
      </c>
      <c r="C29" s="119" t="s">
        <v>1371</v>
      </c>
    </row>
    <row r="30" spans="1:3" ht="17" x14ac:dyDescent="0.2">
      <c r="A30" s="118" t="s">
        <v>1372</v>
      </c>
      <c r="B30" s="119" t="s">
        <v>1373</v>
      </c>
      <c r="C30" s="119" t="s">
        <v>1374</v>
      </c>
    </row>
    <row r="31" spans="1:3" ht="17" x14ac:dyDescent="0.2">
      <c r="A31" s="118" t="s">
        <v>1375</v>
      </c>
      <c r="B31" s="119" t="s">
        <v>1376</v>
      </c>
      <c r="C31" s="119" t="s">
        <v>1377</v>
      </c>
    </row>
    <row r="32" spans="1:3" ht="17" x14ac:dyDescent="0.2">
      <c r="A32" s="118" t="s">
        <v>1378</v>
      </c>
      <c r="B32" s="119" t="s">
        <v>1379</v>
      </c>
      <c r="C32" s="119" t="s">
        <v>1380</v>
      </c>
    </row>
    <row r="33" spans="1:3" ht="17" x14ac:dyDescent="0.2">
      <c r="A33" s="118" t="s">
        <v>1381</v>
      </c>
      <c r="B33" s="119" t="s">
        <v>1382</v>
      </c>
      <c r="C33" s="119" t="s">
        <v>1383</v>
      </c>
    </row>
    <row r="34" spans="1:3" ht="17" x14ac:dyDescent="0.2">
      <c r="A34" s="118" t="s">
        <v>1384</v>
      </c>
      <c r="B34" s="119" t="s">
        <v>1385</v>
      </c>
      <c r="C34" s="119" t="s">
        <v>1386</v>
      </c>
    </row>
    <row r="35" spans="1:3" ht="17" x14ac:dyDescent="0.2">
      <c r="A35" s="118" t="s">
        <v>1387</v>
      </c>
      <c r="B35" s="119" t="s">
        <v>1388</v>
      </c>
      <c r="C35" s="119" t="s">
        <v>1389</v>
      </c>
    </row>
    <row r="36" spans="1:3" x14ac:dyDescent="0.2">
      <c r="A36" s="114"/>
      <c r="B36" s="114"/>
      <c r="C36" s="114"/>
    </row>
    <row r="37" spans="1:3" x14ac:dyDescent="0.2">
      <c r="A37" s="115" t="s">
        <v>1390</v>
      </c>
      <c r="B37" s="114"/>
      <c r="C37" s="114"/>
    </row>
    <row r="38" spans="1:3" ht="306" customHeight="1" x14ac:dyDescent="0.2">
      <c r="A38" s="415" t="s">
        <v>1391</v>
      </c>
      <c r="B38" s="415"/>
      <c r="C38" s="415"/>
    </row>
    <row r="39" spans="1:3" x14ac:dyDescent="0.2">
      <c r="A39" s="114"/>
      <c r="B39" s="114"/>
      <c r="C39" s="114"/>
    </row>
    <row r="40" spans="1:3" x14ac:dyDescent="0.2">
      <c r="A40" s="115" t="s">
        <v>1392</v>
      </c>
      <c r="B40" s="114"/>
      <c r="C40" s="114"/>
    </row>
    <row r="41" spans="1:3" ht="34" x14ac:dyDescent="0.2">
      <c r="A41" s="118" t="s">
        <v>1393</v>
      </c>
      <c r="B41" s="119" t="s">
        <v>1394</v>
      </c>
      <c r="C41" s="114"/>
    </row>
    <row r="42" spans="1:3" ht="51" x14ac:dyDescent="0.2">
      <c r="A42" s="118" t="s">
        <v>1395</v>
      </c>
      <c r="B42" s="119" t="s">
        <v>1396</v>
      </c>
      <c r="C42" s="114"/>
    </row>
    <row r="43" spans="1:3" ht="34" x14ac:dyDescent="0.2">
      <c r="A43" s="118" t="s">
        <v>1397</v>
      </c>
      <c r="B43" s="119" t="s">
        <v>1398</v>
      </c>
      <c r="C43" s="114"/>
    </row>
    <row r="44" spans="1:3" ht="51" x14ac:dyDescent="0.2">
      <c r="A44" s="118" t="s">
        <v>1399</v>
      </c>
      <c r="B44" s="119" t="s">
        <v>1400</v>
      </c>
      <c r="C44" s="114"/>
    </row>
    <row r="45" spans="1:3" ht="34" x14ac:dyDescent="0.2">
      <c r="A45" s="118" t="s">
        <v>463</v>
      </c>
      <c r="B45" s="119" t="s">
        <v>1401</v>
      </c>
      <c r="C45" s="114"/>
    </row>
    <row r="46" spans="1:3" x14ac:dyDescent="0.2">
      <c r="A46" s="114"/>
      <c r="B46" s="116"/>
      <c r="C46" s="114"/>
    </row>
    <row r="47" spans="1:3" x14ac:dyDescent="0.2">
      <c r="A47" s="120" t="s">
        <v>1402</v>
      </c>
      <c r="B47" s="116"/>
      <c r="C47" s="114"/>
    </row>
    <row r="48" spans="1:3" ht="85" x14ac:dyDescent="0.2">
      <c r="A48" s="118" t="s">
        <v>1403</v>
      </c>
      <c r="B48" s="119" t="s">
        <v>1404</v>
      </c>
      <c r="C48" s="114"/>
    </row>
    <row r="49" spans="1:3" ht="68" x14ac:dyDescent="0.2">
      <c r="A49" s="118" t="s">
        <v>1405</v>
      </c>
      <c r="B49" s="119" t="s">
        <v>1406</v>
      </c>
      <c r="C49" s="114"/>
    </row>
    <row r="50" spans="1:3" ht="34" x14ac:dyDescent="0.2">
      <c r="A50" s="118" t="s">
        <v>1407</v>
      </c>
      <c r="B50" s="119" t="s">
        <v>1408</v>
      </c>
      <c r="C50" s="114"/>
    </row>
    <row r="51" spans="1:3" ht="34" x14ac:dyDescent="0.2">
      <c r="A51" s="118" t="s">
        <v>1409</v>
      </c>
      <c r="B51" s="119" t="s">
        <v>1410</v>
      </c>
      <c r="C51" s="114"/>
    </row>
    <row r="52" spans="1:3" ht="34" x14ac:dyDescent="0.2">
      <c r="A52" s="118" t="s">
        <v>1411</v>
      </c>
      <c r="B52" s="119" t="s">
        <v>1412</v>
      </c>
      <c r="C52" s="114"/>
    </row>
    <row r="54" spans="1:3" x14ac:dyDescent="0.2">
      <c r="A54" s="70" t="s">
        <v>1566</v>
      </c>
      <c r="B54" s="70"/>
      <c r="C54" s="70"/>
    </row>
    <row r="55" spans="1:3" ht="34" x14ac:dyDescent="0.2">
      <c r="A55" s="146" t="s">
        <v>1567</v>
      </c>
      <c r="B55" s="148" t="s">
        <v>1568</v>
      </c>
      <c r="C55" s="147"/>
    </row>
    <row r="56" spans="1:3" ht="34" x14ac:dyDescent="0.2">
      <c r="A56" s="134" t="s">
        <v>1569</v>
      </c>
      <c r="B56" s="112" t="s">
        <v>1570</v>
      </c>
      <c r="C56" s="36"/>
    </row>
    <row r="57" spans="1:3" ht="34" x14ac:dyDescent="0.2">
      <c r="A57" s="134" t="s">
        <v>1571</v>
      </c>
      <c r="B57" s="112" t="s">
        <v>1572</v>
      </c>
      <c r="C57" s="36"/>
    </row>
    <row r="58" spans="1:3" ht="34" x14ac:dyDescent="0.2">
      <c r="A58" s="134" t="s">
        <v>1573</v>
      </c>
      <c r="B58" s="112" t="s">
        <v>1574</v>
      </c>
      <c r="C58" s="36"/>
    </row>
    <row r="59" spans="1:3" ht="34" x14ac:dyDescent="0.2">
      <c r="A59" s="134" t="s">
        <v>1575</v>
      </c>
      <c r="B59" s="112" t="s">
        <v>1576</v>
      </c>
      <c r="C59" s="36"/>
    </row>
    <row r="60" spans="1:3" ht="68" x14ac:dyDescent="0.2">
      <c r="A60" s="134" t="s">
        <v>1577</v>
      </c>
      <c r="B60" s="112" t="s">
        <v>1578</v>
      </c>
      <c r="C60" s="36"/>
    </row>
    <row r="61" spans="1:3" ht="34" x14ac:dyDescent="0.2">
      <c r="A61" s="134" t="s">
        <v>1579</v>
      </c>
      <c r="B61" s="112" t="s">
        <v>1580</v>
      </c>
      <c r="C61" s="36"/>
    </row>
    <row r="63" spans="1:3" x14ac:dyDescent="0.2">
      <c r="A63" s="70" t="s">
        <v>1698</v>
      </c>
    </row>
    <row r="64" spans="1:3" ht="51" x14ac:dyDescent="0.2">
      <c r="A64" s="13" t="s">
        <v>1699</v>
      </c>
      <c r="B64" s="183" t="s">
        <v>1700</v>
      </c>
    </row>
    <row r="65" spans="1:2" ht="51" x14ac:dyDescent="0.2">
      <c r="A65" s="13" t="s">
        <v>1701</v>
      </c>
      <c r="B65" s="183" t="s">
        <v>1702</v>
      </c>
    </row>
    <row r="66" spans="1:2" ht="68" x14ac:dyDescent="0.2">
      <c r="A66" s="13" t="s">
        <v>1703</v>
      </c>
      <c r="B66" s="183" t="s">
        <v>1704</v>
      </c>
    </row>
    <row r="67" spans="1:2" ht="34" x14ac:dyDescent="0.2">
      <c r="A67" s="13" t="s">
        <v>1705</v>
      </c>
      <c r="B67" s="183" t="s">
        <v>1706</v>
      </c>
    </row>
    <row r="68" spans="1:2" ht="34" x14ac:dyDescent="0.2">
      <c r="A68" s="13" t="s">
        <v>1707</v>
      </c>
      <c r="B68" s="183" t="s">
        <v>1708</v>
      </c>
    </row>
    <row r="69" spans="1:2" ht="34" x14ac:dyDescent="0.2">
      <c r="A69" s="13" t="s">
        <v>1709</v>
      </c>
      <c r="B69" s="183" t="s">
        <v>1710</v>
      </c>
    </row>
    <row r="70" spans="1:2" ht="51" x14ac:dyDescent="0.2">
      <c r="A70" s="184" t="s">
        <v>1711</v>
      </c>
      <c r="B70" s="185" t="s">
        <v>1712</v>
      </c>
    </row>
    <row r="71" spans="1:2" ht="34" x14ac:dyDescent="0.2">
      <c r="A71" s="13" t="s">
        <v>1713</v>
      </c>
      <c r="B71" s="183" t="s">
        <v>1714</v>
      </c>
    </row>
  </sheetData>
  <mergeCells count="3">
    <mergeCell ref="A5:C5"/>
    <mergeCell ref="A38:C38"/>
    <mergeCell ref="A2:C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E31B5-0FD9-BB47-874B-0A3274124038}">
  <dimension ref="A1:AA23"/>
  <sheetViews>
    <sheetView workbookViewId="0">
      <pane ySplit="3" topLeftCell="A4" activePane="bottomLeft" state="frozen"/>
      <selection pane="bottomLeft"/>
    </sheetView>
  </sheetViews>
  <sheetFormatPr baseColWidth="10" defaultRowHeight="16" x14ac:dyDescent="0.2"/>
  <cols>
    <col min="1" max="24" width="18.33203125" customWidth="1"/>
  </cols>
  <sheetData>
    <row r="1" spans="1:27" ht="19" x14ac:dyDescent="0.25">
      <c r="A1" s="1" t="s">
        <v>0</v>
      </c>
      <c r="B1" s="1"/>
      <c r="C1" s="1"/>
      <c r="D1" s="1"/>
      <c r="E1" s="1"/>
      <c r="F1" s="1"/>
      <c r="G1" s="1"/>
      <c r="H1" s="1"/>
      <c r="I1" s="1"/>
      <c r="J1" s="1"/>
      <c r="K1" s="1"/>
      <c r="L1" s="1"/>
      <c r="M1" s="1"/>
      <c r="N1" s="1"/>
      <c r="O1" s="1"/>
      <c r="P1" s="1"/>
      <c r="Q1" s="1"/>
      <c r="R1" s="1"/>
      <c r="S1" s="1"/>
      <c r="T1" s="1"/>
      <c r="U1" s="1"/>
      <c r="V1" s="1"/>
      <c r="W1" s="1"/>
      <c r="X1" s="1"/>
      <c r="Z1" t="s">
        <v>1242</v>
      </c>
    </row>
    <row r="2" spans="1:27" x14ac:dyDescent="0.2">
      <c r="Z2" t="s">
        <v>1237</v>
      </c>
      <c r="AA2">
        <f>COUNTA(A4:A100)</f>
        <v>20</v>
      </c>
    </row>
    <row r="3" spans="1:27" x14ac:dyDescent="0.2">
      <c r="A3" s="37" t="s">
        <v>1</v>
      </c>
      <c r="B3" s="37" t="s">
        <v>2</v>
      </c>
      <c r="C3" s="37" t="s">
        <v>3</v>
      </c>
      <c r="D3" s="37" t="s">
        <v>4</v>
      </c>
      <c r="E3" s="37" t="s">
        <v>5</v>
      </c>
      <c r="F3" s="37" t="s">
        <v>6</v>
      </c>
      <c r="G3" s="37" t="s">
        <v>7</v>
      </c>
      <c r="H3" s="37" t="s">
        <v>8</v>
      </c>
      <c r="I3" s="37" t="s">
        <v>9</v>
      </c>
      <c r="J3" s="37" t="s">
        <v>10</v>
      </c>
      <c r="K3" s="37" t="s">
        <v>11</v>
      </c>
      <c r="L3" s="37" t="s">
        <v>12</v>
      </c>
      <c r="M3" s="37" t="s">
        <v>13</v>
      </c>
      <c r="N3" s="37" t="s">
        <v>14</v>
      </c>
      <c r="O3" s="37" t="s">
        <v>15</v>
      </c>
      <c r="P3" s="37" t="s">
        <v>16</v>
      </c>
      <c r="Q3" s="37" t="s">
        <v>17</v>
      </c>
      <c r="R3" s="37" t="s">
        <v>18</v>
      </c>
      <c r="S3" s="37" t="s">
        <v>19</v>
      </c>
      <c r="T3" s="37" t="s">
        <v>20</v>
      </c>
      <c r="U3" s="37" t="s">
        <v>21</v>
      </c>
      <c r="V3" s="37" t="s">
        <v>22</v>
      </c>
      <c r="W3" s="37" t="s">
        <v>23</v>
      </c>
      <c r="X3" s="37" t="s">
        <v>24</v>
      </c>
      <c r="Z3" t="s">
        <v>32</v>
      </c>
      <c r="AA3">
        <f>COUNTIF(Q4:Q100,"Y")</f>
        <v>20</v>
      </c>
    </row>
    <row r="4" spans="1:27" x14ac:dyDescent="0.2">
      <c r="A4" s="39" t="s">
        <v>25</v>
      </c>
      <c r="B4" s="39" t="s">
        <v>26</v>
      </c>
      <c r="C4" s="39" t="s">
        <v>27</v>
      </c>
      <c r="D4" s="39" t="s">
        <v>28</v>
      </c>
      <c r="E4" s="39">
        <v>1.6</v>
      </c>
      <c r="F4" s="39" t="s">
        <v>29</v>
      </c>
      <c r="G4" s="39" t="s">
        <v>30</v>
      </c>
      <c r="H4" s="39" t="s">
        <v>31</v>
      </c>
      <c r="I4" s="39" t="s">
        <v>32</v>
      </c>
      <c r="J4" s="39"/>
      <c r="K4" s="39"/>
      <c r="L4" s="39"/>
      <c r="M4" s="39"/>
      <c r="N4" s="39"/>
      <c r="O4" s="39"/>
      <c r="P4" s="39"/>
      <c r="Q4" s="39" t="s">
        <v>33</v>
      </c>
      <c r="R4" s="39"/>
      <c r="S4" s="39"/>
      <c r="T4" s="39"/>
      <c r="U4" s="39" t="s">
        <v>34</v>
      </c>
      <c r="V4" s="39"/>
      <c r="W4" s="39"/>
      <c r="X4" s="39"/>
      <c r="Z4" t="s">
        <v>34</v>
      </c>
      <c r="AA4">
        <f>COUNTIF(U4:U100,"Untouched")</f>
        <v>20</v>
      </c>
    </row>
    <row r="5" spans="1:27" x14ac:dyDescent="0.2">
      <c r="A5" s="39" t="s">
        <v>35</v>
      </c>
      <c r="B5" s="39" t="s">
        <v>36</v>
      </c>
      <c r="C5" s="39" t="s">
        <v>37</v>
      </c>
      <c r="D5" s="39" t="s">
        <v>38</v>
      </c>
      <c r="E5" s="39">
        <v>2</v>
      </c>
      <c r="F5" s="39" t="s">
        <v>39</v>
      </c>
      <c r="G5" s="39" t="s">
        <v>40</v>
      </c>
      <c r="H5" s="39" t="s">
        <v>31</v>
      </c>
      <c r="I5" s="39" t="s">
        <v>32</v>
      </c>
      <c r="J5" s="39"/>
      <c r="K5" s="39"/>
      <c r="L5" s="39"/>
      <c r="M5" s="39"/>
      <c r="N5" s="39"/>
      <c r="O5" s="39"/>
      <c r="P5" s="39"/>
      <c r="Q5" s="39" t="s">
        <v>33</v>
      </c>
      <c r="R5" s="39"/>
      <c r="S5" s="39"/>
      <c r="T5" s="39"/>
      <c r="U5" s="39" t="s">
        <v>34</v>
      </c>
      <c r="V5" s="39"/>
      <c r="W5" s="39"/>
      <c r="X5" s="39"/>
      <c r="Z5" t="s">
        <v>1243</v>
      </c>
      <c r="AA5">
        <f>SUM(M4:M100)</f>
        <v>0</v>
      </c>
    </row>
    <row r="6" spans="1:27" x14ac:dyDescent="0.2">
      <c r="A6" s="39" t="s">
        <v>41</v>
      </c>
      <c r="B6" s="39" t="s">
        <v>42</v>
      </c>
      <c r="C6" s="39" t="s">
        <v>43</v>
      </c>
      <c r="D6" s="39" t="s">
        <v>44</v>
      </c>
      <c r="E6" s="39">
        <v>14</v>
      </c>
      <c r="F6" s="39" t="s">
        <v>45</v>
      </c>
      <c r="G6" s="39" t="s">
        <v>46</v>
      </c>
      <c r="H6" s="39" t="s">
        <v>47</v>
      </c>
      <c r="I6" s="39" t="s">
        <v>32</v>
      </c>
      <c r="J6" s="39"/>
      <c r="K6" s="39"/>
      <c r="L6" s="39"/>
      <c r="M6" s="39"/>
      <c r="N6" s="39"/>
      <c r="O6" s="39"/>
      <c r="P6" s="39"/>
      <c r="Q6" s="39" t="s">
        <v>33</v>
      </c>
      <c r="R6" s="39"/>
      <c r="S6" s="39"/>
      <c r="T6" s="39"/>
      <c r="U6" s="39" t="s">
        <v>34</v>
      </c>
      <c r="V6" s="39"/>
      <c r="W6" s="39"/>
      <c r="X6" s="39"/>
      <c r="Z6" t="s">
        <v>1244</v>
      </c>
      <c r="AA6">
        <f>SUM(N4:N100)</f>
        <v>0</v>
      </c>
    </row>
    <row r="7" spans="1:27" x14ac:dyDescent="0.2">
      <c r="A7" s="39" t="s">
        <v>48</v>
      </c>
      <c r="B7" s="39" t="s">
        <v>49</v>
      </c>
      <c r="C7" s="39" t="s">
        <v>50</v>
      </c>
      <c r="D7" s="39" t="s">
        <v>51</v>
      </c>
      <c r="E7" s="39">
        <v>1</v>
      </c>
      <c r="F7" s="39" t="s">
        <v>52</v>
      </c>
      <c r="G7" s="39" t="s">
        <v>53</v>
      </c>
      <c r="H7" s="39" t="s">
        <v>54</v>
      </c>
      <c r="I7" s="39" t="s">
        <v>32</v>
      </c>
      <c r="J7" s="39"/>
      <c r="K7" s="39"/>
      <c r="L7" s="39"/>
      <c r="M7" s="39"/>
      <c r="N7" s="39"/>
      <c r="O7" s="39"/>
      <c r="P7" s="39"/>
      <c r="Q7" s="39" t="s">
        <v>33</v>
      </c>
      <c r="R7" s="39"/>
      <c r="S7" s="39"/>
      <c r="T7" s="39"/>
      <c r="U7" s="39" t="s">
        <v>34</v>
      </c>
      <c r="V7" s="39"/>
      <c r="W7" s="39"/>
      <c r="X7" s="39"/>
    </row>
    <row r="8" spans="1:27" x14ac:dyDescent="0.2">
      <c r="A8" s="39" t="s">
        <v>55</v>
      </c>
      <c r="B8" s="39" t="s">
        <v>56</v>
      </c>
      <c r="C8" s="39" t="s">
        <v>57</v>
      </c>
      <c r="D8" s="39" t="s">
        <v>58</v>
      </c>
      <c r="E8" s="39"/>
      <c r="F8" s="39" t="s">
        <v>59</v>
      </c>
      <c r="G8" s="39" t="s">
        <v>60</v>
      </c>
      <c r="H8" s="39" t="s">
        <v>61</v>
      </c>
      <c r="I8" s="39" t="s">
        <v>62</v>
      </c>
      <c r="J8" s="39"/>
      <c r="K8" s="39"/>
      <c r="L8" s="39"/>
      <c r="M8" s="39"/>
      <c r="N8" s="39"/>
      <c r="O8" s="39" t="s">
        <v>33</v>
      </c>
      <c r="P8" s="39" t="s">
        <v>63</v>
      </c>
      <c r="Q8" s="39" t="s">
        <v>33</v>
      </c>
      <c r="R8" s="39"/>
      <c r="S8" s="39"/>
      <c r="T8" s="39"/>
      <c r="U8" s="39" t="s">
        <v>34</v>
      </c>
      <c r="V8" s="39"/>
      <c r="W8" s="39"/>
      <c r="X8" s="39"/>
    </row>
    <row r="9" spans="1:27" x14ac:dyDescent="0.2">
      <c r="A9" s="39" t="s">
        <v>64</v>
      </c>
      <c r="B9" s="39" t="s">
        <v>65</v>
      </c>
      <c r="C9" s="39" t="s">
        <v>66</v>
      </c>
      <c r="D9" s="39" t="s">
        <v>67</v>
      </c>
      <c r="E9" s="39"/>
      <c r="F9" s="39" t="s">
        <v>59</v>
      </c>
      <c r="G9" s="39" t="s">
        <v>68</v>
      </c>
      <c r="H9" s="39" t="s">
        <v>69</v>
      </c>
      <c r="I9" s="39" t="s">
        <v>32</v>
      </c>
      <c r="J9" s="39"/>
      <c r="K9" s="39"/>
      <c r="L9" s="39"/>
      <c r="M9" s="39"/>
      <c r="N9" s="39"/>
      <c r="O9" s="39" t="s">
        <v>33</v>
      </c>
      <c r="P9" s="39" t="s">
        <v>70</v>
      </c>
      <c r="Q9" s="39" t="s">
        <v>33</v>
      </c>
      <c r="R9" s="39"/>
      <c r="S9" s="39"/>
      <c r="T9" s="39"/>
      <c r="U9" s="39" t="s">
        <v>34</v>
      </c>
      <c r="V9" s="39"/>
      <c r="W9" s="39"/>
      <c r="X9" s="39"/>
    </row>
    <row r="10" spans="1:27" x14ac:dyDescent="0.2">
      <c r="A10" s="39" t="s">
        <v>71</v>
      </c>
      <c r="B10" s="39" t="s">
        <v>72</v>
      </c>
      <c r="C10" s="39" t="s">
        <v>73</v>
      </c>
      <c r="D10" s="39" t="s">
        <v>74</v>
      </c>
      <c r="E10" s="39">
        <v>6000</v>
      </c>
      <c r="F10" s="39" t="s">
        <v>59</v>
      </c>
      <c r="G10" s="39" t="s">
        <v>75</v>
      </c>
      <c r="H10" s="39" t="s">
        <v>76</v>
      </c>
      <c r="I10" s="39" t="s">
        <v>32</v>
      </c>
      <c r="J10" s="39"/>
      <c r="K10" s="39"/>
      <c r="L10" s="39"/>
      <c r="M10" s="39"/>
      <c r="N10" s="39"/>
      <c r="O10" s="39" t="s">
        <v>33</v>
      </c>
      <c r="P10" s="39" t="s">
        <v>77</v>
      </c>
      <c r="Q10" s="39" t="s">
        <v>33</v>
      </c>
      <c r="R10" s="39"/>
      <c r="S10" s="39"/>
      <c r="T10" s="39"/>
      <c r="U10" s="39" t="s">
        <v>34</v>
      </c>
      <c r="V10" s="39"/>
      <c r="W10" s="39"/>
      <c r="X10" s="39"/>
    </row>
    <row r="11" spans="1:27" x14ac:dyDescent="0.2">
      <c r="A11" s="39" t="s">
        <v>78</v>
      </c>
      <c r="B11" s="39" t="s">
        <v>79</v>
      </c>
      <c r="C11" s="39" t="s">
        <v>80</v>
      </c>
      <c r="D11" s="39" t="s">
        <v>81</v>
      </c>
      <c r="E11" s="39"/>
      <c r="F11" s="39" t="s">
        <v>82</v>
      </c>
      <c r="G11" s="39" t="s">
        <v>83</v>
      </c>
      <c r="H11" s="39" t="s">
        <v>61</v>
      </c>
      <c r="I11" s="39" t="s">
        <v>84</v>
      </c>
      <c r="J11" s="39"/>
      <c r="K11" s="39"/>
      <c r="L11" s="39"/>
      <c r="M11" s="39"/>
      <c r="N11" s="39"/>
      <c r="O11" s="39" t="s">
        <v>85</v>
      </c>
      <c r="P11" s="39" t="s">
        <v>86</v>
      </c>
      <c r="Q11" s="39" t="s">
        <v>33</v>
      </c>
      <c r="R11" s="39"/>
      <c r="S11" s="39"/>
      <c r="T11" s="39"/>
      <c r="U11" s="39" t="s">
        <v>34</v>
      </c>
      <c r="V11" s="39"/>
      <c r="W11" s="39"/>
      <c r="X11" s="39"/>
    </row>
    <row r="12" spans="1:27" x14ac:dyDescent="0.2">
      <c r="A12" s="39" t="s">
        <v>87</v>
      </c>
      <c r="B12" s="39" t="s">
        <v>88</v>
      </c>
      <c r="C12" s="39" t="s">
        <v>89</v>
      </c>
      <c r="D12" s="39" t="s">
        <v>90</v>
      </c>
      <c r="E12" s="39"/>
      <c r="F12" s="39" t="s">
        <v>82</v>
      </c>
      <c r="G12" s="39" t="s">
        <v>83</v>
      </c>
      <c r="H12" s="39" t="s">
        <v>91</v>
      </c>
      <c r="I12" s="39" t="s">
        <v>62</v>
      </c>
      <c r="J12" s="39"/>
      <c r="K12" s="39"/>
      <c r="L12" s="39"/>
      <c r="M12" s="39"/>
      <c r="N12" s="39"/>
      <c r="O12" s="39"/>
      <c r="P12" s="39"/>
      <c r="Q12" s="39" t="s">
        <v>33</v>
      </c>
      <c r="R12" s="39"/>
      <c r="S12" s="39"/>
      <c r="T12" s="39"/>
      <c r="U12" s="39" t="s">
        <v>34</v>
      </c>
      <c r="V12" s="39"/>
      <c r="W12" s="39"/>
      <c r="X12" s="39"/>
    </row>
    <row r="13" spans="1:27" x14ac:dyDescent="0.2">
      <c r="A13" s="39" t="s">
        <v>92</v>
      </c>
      <c r="B13" s="39" t="s">
        <v>93</v>
      </c>
      <c r="C13" s="39" t="s">
        <v>94</v>
      </c>
      <c r="D13" s="39"/>
      <c r="E13" s="39"/>
      <c r="F13" s="39" t="s">
        <v>95</v>
      </c>
      <c r="G13" s="39" t="s">
        <v>96</v>
      </c>
      <c r="H13" s="39" t="s">
        <v>97</v>
      </c>
      <c r="I13" s="39" t="s">
        <v>62</v>
      </c>
      <c r="J13" s="39"/>
      <c r="K13" s="39"/>
      <c r="L13" s="39"/>
      <c r="M13" s="39"/>
      <c r="N13" s="39"/>
      <c r="O13" s="39"/>
      <c r="P13" s="39"/>
      <c r="Q13" s="39" t="s">
        <v>33</v>
      </c>
      <c r="R13" s="39"/>
      <c r="S13" s="39"/>
      <c r="T13" s="39"/>
      <c r="U13" s="39" t="s">
        <v>34</v>
      </c>
      <c r="V13" s="39"/>
      <c r="W13" s="39"/>
      <c r="X13" s="39"/>
    </row>
    <row r="14" spans="1:27" x14ac:dyDescent="0.2">
      <c r="A14" s="39" t="s">
        <v>98</v>
      </c>
      <c r="B14" s="39" t="s">
        <v>99</v>
      </c>
      <c r="C14" s="39" t="s">
        <v>100</v>
      </c>
      <c r="D14" s="39" t="s">
        <v>101</v>
      </c>
      <c r="E14" s="39"/>
      <c r="F14" s="39" t="s">
        <v>29</v>
      </c>
      <c r="G14" s="39" t="s">
        <v>102</v>
      </c>
      <c r="H14" s="39" t="s">
        <v>31</v>
      </c>
      <c r="I14" s="39" t="s">
        <v>32</v>
      </c>
      <c r="J14" s="39"/>
      <c r="K14" s="39"/>
      <c r="L14" s="39"/>
      <c r="M14" s="39"/>
      <c r="N14" s="39"/>
      <c r="O14" s="39"/>
      <c r="P14" s="39"/>
      <c r="Q14" s="39" t="s">
        <v>33</v>
      </c>
      <c r="R14" s="39"/>
      <c r="S14" s="39"/>
      <c r="T14" s="39"/>
      <c r="U14" s="39" t="s">
        <v>34</v>
      </c>
      <c r="V14" s="39"/>
      <c r="W14" s="39"/>
      <c r="X14" s="39"/>
    </row>
    <row r="15" spans="1:27" x14ac:dyDescent="0.2">
      <c r="A15" s="39" t="s">
        <v>103</v>
      </c>
      <c r="B15" s="39" t="s">
        <v>104</v>
      </c>
      <c r="C15" s="39" t="s">
        <v>105</v>
      </c>
      <c r="D15" s="39" t="s">
        <v>106</v>
      </c>
      <c r="E15" s="39"/>
      <c r="F15" s="39" t="s">
        <v>29</v>
      </c>
      <c r="G15" s="39" t="s">
        <v>102</v>
      </c>
      <c r="H15" s="39" t="s">
        <v>107</v>
      </c>
      <c r="I15" s="39" t="s">
        <v>32</v>
      </c>
      <c r="J15" s="39"/>
      <c r="K15" s="39"/>
      <c r="L15" s="39"/>
      <c r="M15" s="39"/>
      <c r="N15" s="39"/>
      <c r="O15" s="39"/>
      <c r="P15" s="39"/>
      <c r="Q15" s="39" t="s">
        <v>33</v>
      </c>
      <c r="R15" s="39"/>
      <c r="S15" s="39"/>
      <c r="T15" s="39"/>
      <c r="U15" s="39" t="s">
        <v>34</v>
      </c>
      <c r="V15" s="39"/>
      <c r="W15" s="39"/>
      <c r="X15" s="39"/>
    </row>
    <row r="16" spans="1:27" x14ac:dyDescent="0.2">
      <c r="A16" s="39" t="s">
        <v>108</v>
      </c>
      <c r="B16" s="39" t="s">
        <v>109</v>
      </c>
      <c r="C16" s="39" t="s">
        <v>110</v>
      </c>
      <c r="D16" s="39" t="s">
        <v>109</v>
      </c>
      <c r="E16" s="39"/>
      <c r="F16" s="39" t="s">
        <v>29</v>
      </c>
      <c r="G16" s="39" t="s">
        <v>111</v>
      </c>
      <c r="H16" s="39" t="s">
        <v>31</v>
      </c>
      <c r="I16" s="39" t="s">
        <v>32</v>
      </c>
      <c r="J16" s="39"/>
      <c r="K16" s="39"/>
      <c r="L16" s="39"/>
      <c r="M16" s="39"/>
      <c r="N16" s="39"/>
      <c r="O16" s="39"/>
      <c r="P16" s="39"/>
      <c r="Q16" s="39" t="s">
        <v>33</v>
      </c>
      <c r="R16" s="39"/>
      <c r="S16" s="39"/>
      <c r="T16" s="39"/>
      <c r="U16" s="39" t="s">
        <v>34</v>
      </c>
      <c r="V16" s="39"/>
      <c r="W16" s="39"/>
      <c r="X16" s="39"/>
    </row>
    <row r="17" spans="1:24" x14ac:dyDescent="0.2">
      <c r="A17" s="39" t="s">
        <v>112</v>
      </c>
      <c r="B17" s="39" t="s">
        <v>113</v>
      </c>
      <c r="C17" s="39" t="s">
        <v>114</v>
      </c>
      <c r="D17" s="39" t="s">
        <v>115</v>
      </c>
      <c r="E17" s="39"/>
      <c r="F17" s="39" t="s">
        <v>116</v>
      </c>
      <c r="G17" s="39" t="s">
        <v>117</v>
      </c>
      <c r="H17" s="39" t="s">
        <v>31</v>
      </c>
      <c r="I17" s="39" t="s">
        <v>32</v>
      </c>
      <c r="J17" s="39"/>
      <c r="K17" s="39"/>
      <c r="L17" s="39"/>
      <c r="M17" s="39"/>
      <c r="N17" s="39"/>
      <c r="O17" s="39"/>
      <c r="P17" s="39"/>
      <c r="Q17" s="39" t="s">
        <v>33</v>
      </c>
      <c r="R17" s="39"/>
      <c r="S17" s="39"/>
      <c r="T17" s="39"/>
      <c r="U17" s="39" t="s">
        <v>34</v>
      </c>
      <c r="V17" s="39"/>
      <c r="W17" s="39"/>
      <c r="X17" s="39"/>
    </row>
    <row r="18" spans="1:24" x14ac:dyDescent="0.2">
      <c r="A18" s="39" t="s">
        <v>118</v>
      </c>
      <c r="B18" s="39" t="s">
        <v>119</v>
      </c>
      <c r="C18" s="39" t="s">
        <v>120</v>
      </c>
      <c r="D18" s="39" t="s">
        <v>121</v>
      </c>
      <c r="E18" s="39"/>
      <c r="F18" s="39" t="s">
        <v>82</v>
      </c>
      <c r="G18" s="39" t="s">
        <v>122</v>
      </c>
      <c r="H18" s="39" t="s">
        <v>61</v>
      </c>
      <c r="I18" s="39" t="s">
        <v>62</v>
      </c>
      <c r="J18" s="39"/>
      <c r="K18" s="39"/>
      <c r="L18" s="39"/>
      <c r="M18" s="39"/>
      <c r="N18" s="39"/>
      <c r="O18" s="39"/>
      <c r="P18" s="39"/>
      <c r="Q18" s="39" t="s">
        <v>33</v>
      </c>
      <c r="R18" s="39"/>
      <c r="S18" s="39"/>
      <c r="T18" s="39"/>
      <c r="U18" s="39" t="s">
        <v>34</v>
      </c>
      <c r="V18" s="39"/>
      <c r="W18" s="39"/>
      <c r="X18" s="39"/>
    </row>
    <row r="19" spans="1:24" x14ac:dyDescent="0.2">
      <c r="A19" s="39" t="s">
        <v>123</v>
      </c>
      <c r="B19" s="39" t="s">
        <v>124</v>
      </c>
      <c r="C19" s="39" t="s">
        <v>125</v>
      </c>
      <c r="D19" s="39" t="s">
        <v>126</v>
      </c>
      <c r="E19" s="39"/>
      <c r="F19" s="39" t="s">
        <v>59</v>
      </c>
      <c r="G19" s="39" t="s">
        <v>127</v>
      </c>
      <c r="H19" s="39" t="s">
        <v>69</v>
      </c>
      <c r="I19" s="39" t="s">
        <v>128</v>
      </c>
      <c r="J19" s="39"/>
      <c r="K19" s="39"/>
      <c r="L19" s="39"/>
      <c r="M19" s="39"/>
      <c r="N19" s="39"/>
      <c r="O19" s="39" t="s">
        <v>33</v>
      </c>
      <c r="P19" s="39" t="s">
        <v>129</v>
      </c>
      <c r="Q19" s="39" t="s">
        <v>33</v>
      </c>
      <c r="R19" s="39"/>
      <c r="S19" s="39"/>
      <c r="T19" s="39"/>
      <c r="U19" s="39" t="s">
        <v>34</v>
      </c>
      <c r="V19" s="39"/>
      <c r="W19" s="39"/>
      <c r="X19" s="39"/>
    </row>
    <row r="20" spans="1:24" x14ac:dyDescent="0.2">
      <c r="A20" s="39" t="s">
        <v>130</v>
      </c>
      <c r="B20" s="39" t="s">
        <v>131</v>
      </c>
      <c r="C20" s="39" t="s">
        <v>132</v>
      </c>
      <c r="D20" s="39" t="s">
        <v>133</v>
      </c>
      <c r="E20" s="39"/>
      <c r="F20" s="39" t="s">
        <v>29</v>
      </c>
      <c r="G20" s="39" t="s">
        <v>102</v>
      </c>
      <c r="H20" s="39" t="s">
        <v>31</v>
      </c>
      <c r="I20" s="39" t="s">
        <v>32</v>
      </c>
      <c r="J20" s="39"/>
      <c r="K20" s="39"/>
      <c r="L20" s="39"/>
      <c r="M20" s="39"/>
      <c r="N20" s="39"/>
      <c r="O20" s="39"/>
      <c r="P20" s="39"/>
      <c r="Q20" s="39" t="s">
        <v>33</v>
      </c>
      <c r="R20" s="39"/>
      <c r="S20" s="39"/>
      <c r="T20" s="39"/>
      <c r="U20" s="39" t="s">
        <v>34</v>
      </c>
      <c r="V20" s="39"/>
      <c r="W20" s="39"/>
      <c r="X20" s="39"/>
    </row>
    <row r="21" spans="1:24" x14ac:dyDescent="0.2">
      <c r="A21" s="39" t="s">
        <v>134</v>
      </c>
      <c r="B21" s="39" t="s">
        <v>135</v>
      </c>
      <c r="C21" s="39" t="s">
        <v>136</v>
      </c>
      <c r="D21" s="39" t="s">
        <v>137</v>
      </c>
      <c r="E21" s="39"/>
      <c r="F21" s="39" t="s">
        <v>29</v>
      </c>
      <c r="G21" s="39" t="s">
        <v>138</v>
      </c>
      <c r="H21" s="39" t="s">
        <v>139</v>
      </c>
      <c r="I21" s="39" t="s">
        <v>32</v>
      </c>
      <c r="J21" s="39"/>
      <c r="K21" s="39"/>
      <c r="L21" s="39"/>
      <c r="M21" s="39"/>
      <c r="N21" s="39"/>
      <c r="O21" s="39"/>
      <c r="P21" s="39"/>
      <c r="Q21" s="39" t="s">
        <v>33</v>
      </c>
      <c r="R21" s="39"/>
      <c r="S21" s="39"/>
      <c r="T21" s="39"/>
      <c r="U21" s="39" t="s">
        <v>34</v>
      </c>
      <c r="V21" s="39"/>
      <c r="W21" s="39"/>
      <c r="X21" s="39"/>
    </row>
    <row r="22" spans="1:24" x14ac:dyDescent="0.2">
      <c r="A22" s="39" t="s">
        <v>140</v>
      </c>
      <c r="B22" s="39" t="s">
        <v>141</v>
      </c>
      <c r="C22" s="39" t="s">
        <v>142</v>
      </c>
      <c r="D22" s="39" t="s">
        <v>143</v>
      </c>
      <c r="E22" s="39">
        <v>2</v>
      </c>
      <c r="F22" s="39" t="s">
        <v>144</v>
      </c>
      <c r="G22" s="39" t="s">
        <v>145</v>
      </c>
      <c r="H22" s="39" t="s">
        <v>146</v>
      </c>
      <c r="I22" s="39" t="s">
        <v>32</v>
      </c>
      <c r="J22" s="39"/>
      <c r="K22" s="39"/>
      <c r="L22" s="39"/>
      <c r="M22" s="39"/>
      <c r="N22" s="39"/>
      <c r="O22" s="39"/>
      <c r="P22" s="39"/>
      <c r="Q22" s="39" t="s">
        <v>33</v>
      </c>
      <c r="R22" s="39"/>
      <c r="S22" s="39"/>
      <c r="T22" s="39"/>
      <c r="U22" s="39" t="s">
        <v>34</v>
      </c>
      <c r="V22" s="39"/>
      <c r="W22" s="39"/>
      <c r="X22" s="39"/>
    </row>
    <row r="23" spans="1:24" x14ac:dyDescent="0.2">
      <c r="A23" s="39" t="s">
        <v>147</v>
      </c>
      <c r="B23" s="39" t="s">
        <v>148</v>
      </c>
      <c r="C23" s="39" t="s">
        <v>149</v>
      </c>
      <c r="D23" s="39" t="s">
        <v>150</v>
      </c>
      <c r="E23" s="39"/>
      <c r="F23" s="39" t="s">
        <v>151</v>
      </c>
      <c r="G23" s="39" t="s">
        <v>152</v>
      </c>
      <c r="H23" s="39" t="s">
        <v>153</v>
      </c>
      <c r="I23" s="39" t="s">
        <v>154</v>
      </c>
      <c r="J23" s="39"/>
      <c r="K23" s="39"/>
      <c r="L23" s="39"/>
      <c r="M23" s="39"/>
      <c r="N23" s="39"/>
      <c r="O23" s="39"/>
      <c r="P23" s="39"/>
      <c r="Q23" s="39" t="s">
        <v>33</v>
      </c>
      <c r="R23" s="39"/>
      <c r="S23" s="39"/>
      <c r="T23" s="39"/>
      <c r="U23" s="39" t="s">
        <v>34</v>
      </c>
      <c r="V23" s="39"/>
      <c r="W23" s="39"/>
      <c r="X23" s="39"/>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A3D4-0C84-904F-B03E-B87E24AB997A}">
  <dimension ref="A1:AA23"/>
  <sheetViews>
    <sheetView workbookViewId="0">
      <pane ySplit="3" topLeftCell="A4" activePane="bottomLeft" state="frozen"/>
      <selection pane="bottomLeft"/>
    </sheetView>
  </sheetViews>
  <sheetFormatPr baseColWidth="10" defaultRowHeight="16" x14ac:dyDescent="0.2"/>
  <sheetData>
    <row r="1" spans="1:27" ht="19" x14ac:dyDescent="0.25">
      <c r="A1" s="1" t="s">
        <v>0</v>
      </c>
      <c r="B1" s="1"/>
      <c r="C1" s="1"/>
      <c r="D1" s="1"/>
      <c r="E1" s="1"/>
      <c r="F1" s="1"/>
      <c r="G1" s="1"/>
      <c r="H1" s="1"/>
      <c r="I1" s="1"/>
      <c r="J1" s="1"/>
      <c r="K1" s="1"/>
      <c r="L1" s="1"/>
      <c r="M1" s="1"/>
      <c r="N1" s="1"/>
      <c r="O1" s="1"/>
      <c r="P1" s="1"/>
      <c r="Q1" s="1"/>
      <c r="R1" s="1"/>
      <c r="S1" s="1"/>
      <c r="T1" s="1"/>
      <c r="U1" s="1"/>
      <c r="V1" s="1"/>
      <c r="W1" s="1"/>
      <c r="X1" s="1"/>
      <c r="Z1" t="s">
        <v>1242</v>
      </c>
    </row>
    <row r="2" spans="1:27" x14ac:dyDescent="0.2">
      <c r="Z2" t="s">
        <v>1237</v>
      </c>
      <c r="AA2">
        <f>COUNTA(A4:A100)</f>
        <v>20</v>
      </c>
    </row>
    <row r="3" spans="1:27" x14ac:dyDescent="0.2">
      <c r="A3" s="37" t="s">
        <v>1</v>
      </c>
      <c r="B3" s="37" t="s">
        <v>2</v>
      </c>
      <c r="C3" s="37" t="s">
        <v>3</v>
      </c>
      <c r="D3" s="37" t="s">
        <v>4</v>
      </c>
      <c r="E3" s="37" t="s">
        <v>5</v>
      </c>
      <c r="F3" s="37" t="s">
        <v>6</v>
      </c>
      <c r="G3" s="37" t="s">
        <v>7</v>
      </c>
      <c r="H3" s="37" t="s">
        <v>8</v>
      </c>
      <c r="I3" s="37" t="s">
        <v>9</v>
      </c>
      <c r="J3" s="37" t="s">
        <v>10</v>
      </c>
      <c r="K3" s="37" t="s">
        <v>11</v>
      </c>
      <c r="L3" s="37" t="s">
        <v>12</v>
      </c>
      <c r="M3" s="37" t="s">
        <v>13</v>
      </c>
      <c r="N3" s="37" t="s">
        <v>14</v>
      </c>
      <c r="O3" s="37" t="s">
        <v>15</v>
      </c>
      <c r="P3" s="37" t="s">
        <v>16</v>
      </c>
      <c r="Q3" s="37" t="s">
        <v>17</v>
      </c>
      <c r="R3" s="37" t="s">
        <v>18</v>
      </c>
      <c r="S3" s="37" t="s">
        <v>19</v>
      </c>
      <c r="T3" s="37" t="s">
        <v>20</v>
      </c>
      <c r="U3" s="37" t="s">
        <v>21</v>
      </c>
      <c r="V3" s="37" t="s">
        <v>22</v>
      </c>
      <c r="W3" s="37" t="s">
        <v>23</v>
      </c>
      <c r="X3" s="37" t="s">
        <v>24</v>
      </c>
      <c r="Z3" t="s">
        <v>32</v>
      </c>
      <c r="AA3">
        <f>COUNTIF(Q4:Q100,"Y")</f>
        <v>20</v>
      </c>
    </row>
    <row r="4" spans="1:27" x14ac:dyDescent="0.2">
      <c r="A4" s="39" t="s">
        <v>25</v>
      </c>
      <c r="B4" s="39" t="s">
        <v>26</v>
      </c>
      <c r="C4" s="39" t="s">
        <v>27</v>
      </c>
      <c r="D4" s="39" t="s">
        <v>28</v>
      </c>
      <c r="E4" s="39">
        <v>1.6</v>
      </c>
      <c r="F4" s="39" t="s">
        <v>29</v>
      </c>
      <c r="G4" s="39" t="s">
        <v>30</v>
      </c>
      <c r="H4" s="39" t="s">
        <v>31</v>
      </c>
      <c r="I4" s="39" t="s">
        <v>32</v>
      </c>
      <c r="J4" s="39"/>
      <c r="K4" s="39"/>
      <c r="L4" s="39"/>
      <c r="M4" s="39"/>
      <c r="N4" s="39"/>
      <c r="O4" s="39"/>
      <c r="P4" s="39"/>
      <c r="Q4" s="39" t="s">
        <v>33</v>
      </c>
      <c r="R4" s="39"/>
      <c r="S4" s="39"/>
      <c r="T4" s="39"/>
      <c r="U4" s="39" t="s">
        <v>34</v>
      </c>
      <c r="V4" s="39"/>
      <c r="W4" s="39"/>
      <c r="X4" s="39"/>
      <c r="Z4" t="s">
        <v>34</v>
      </c>
      <c r="AA4">
        <f>COUNTIF(U4:U100,"Untouched")</f>
        <v>20</v>
      </c>
    </row>
    <row r="5" spans="1:27" x14ac:dyDescent="0.2">
      <c r="A5" s="39" t="s">
        <v>35</v>
      </c>
      <c r="B5" s="39" t="s">
        <v>36</v>
      </c>
      <c r="C5" s="39" t="s">
        <v>37</v>
      </c>
      <c r="D5" s="39" t="s">
        <v>38</v>
      </c>
      <c r="E5" s="39">
        <v>2</v>
      </c>
      <c r="F5" s="39" t="s">
        <v>39</v>
      </c>
      <c r="G5" s="39" t="s">
        <v>40</v>
      </c>
      <c r="H5" s="39" t="s">
        <v>31</v>
      </c>
      <c r="I5" s="39" t="s">
        <v>32</v>
      </c>
      <c r="J5" s="39"/>
      <c r="K5" s="39"/>
      <c r="L5" s="39"/>
      <c r="M5" s="39"/>
      <c r="N5" s="39"/>
      <c r="O5" s="39"/>
      <c r="P5" s="39"/>
      <c r="Q5" s="39" t="s">
        <v>33</v>
      </c>
      <c r="R5" s="39"/>
      <c r="S5" s="39"/>
      <c r="T5" s="39"/>
      <c r="U5" s="39" t="s">
        <v>34</v>
      </c>
      <c r="V5" s="39"/>
      <c r="W5" s="39"/>
      <c r="X5" s="39"/>
      <c r="Z5" t="s">
        <v>1243</v>
      </c>
      <c r="AA5">
        <f>SUM(M4:M100)</f>
        <v>0</v>
      </c>
    </row>
    <row r="6" spans="1:27" x14ac:dyDescent="0.2">
      <c r="A6" s="39" t="s">
        <v>41</v>
      </c>
      <c r="B6" s="39" t="s">
        <v>42</v>
      </c>
      <c r="C6" s="39" t="s">
        <v>43</v>
      </c>
      <c r="D6" s="39" t="s">
        <v>44</v>
      </c>
      <c r="E6" s="39">
        <v>14</v>
      </c>
      <c r="F6" s="39" t="s">
        <v>45</v>
      </c>
      <c r="G6" s="39" t="s">
        <v>46</v>
      </c>
      <c r="H6" s="39" t="s">
        <v>47</v>
      </c>
      <c r="I6" s="39" t="s">
        <v>32</v>
      </c>
      <c r="J6" s="39"/>
      <c r="K6" s="39"/>
      <c r="L6" s="39"/>
      <c r="M6" s="39"/>
      <c r="N6" s="39"/>
      <c r="O6" s="39"/>
      <c r="P6" s="39"/>
      <c r="Q6" s="39" t="s">
        <v>33</v>
      </c>
      <c r="R6" s="39"/>
      <c r="S6" s="39"/>
      <c r="T6" s="39"/>
      <c r="U6" s="39" t="s">
        <v>34</v>
      </c>
      <c r="V6" s="39"/>
      <c r="W6" s="39"/>
      <c r="X6" s="39"/>
      <c r="Z6" t="s">
        <v>1244</v>
      </c>
      <c r="AA6">
        <f>SUM(N4:N100)</f>
        <v>0</v>
      </c>
    </row>
    <row r="7" spans="1:27" x14ac:dyDescent="0.2">
      <c r="A7" s="39" t="s">
        <v>48</v>
      </c>
      <c r="B7" s="39" t="s">
        <v>49</v>
      </c>
      <c r="C7" s="39" t="s">
        <v>50</v>
      </c>
      <c r="D7" s="39" t="s">
        <v>51</v>
      </c>
      <c r="E7" s="39">
        <v>1</v>
      </c>
      <c r="F7" s="39" t="s">
        <v>52</v>
      </c>
      <c r="G7" s="39" t="s">
        <v>53</v>
      </c>
      <c r="H7" s="39" t="s">
        <v>54</v>
      </c>
      <c r="I7" s="39" t="s">
        <v>32</v>
      </c>
      <c r="J7" s="39"/>
      <c r="K7" s="39"/>
      <c r="L7" s="39"/>
      <c r="M7" s="39"/>
      <c r="N7" s="39"/>
      <c r="O7" s="39"/>
      <c r="P7" s="39"/>
      <c r="Q7" s="39" t="s">
        <v>33</v>
      </c>
      <c r="R7" s="39"/>
      <c r="S7" s="39"/>
      <c r="T7" s="39"/>
      <c r="U7" s="39" t="s">
        <v>34</v>
      </c>
      <c r="V7" s="39"/>
      <c r="W7" s="39"/>
      <c r="X7" s="39"/>
    </row>
    <row r="8" spans="1:27" x14ac:dyDescent="0.2">
      <c r="A8" s="39" t="s">
        <v>55</v>
      </c>
      <c r="B8" s="39" t="s">
        <v>56</v>
      </c>
      <c r="C8" s="39" t="s">
        <v>57</v>
      </c>
      <c r="D8" s="39" t="s">
        <v>58</v>
      </c>
      <c r="E8" s="39"/>
      <c r="F8" s="39" t="s">
        <v>59</v>
      </c>
      <c r="G8" s="39" t="s">
        <v>60</v>
      </c>
      <c r="H8" s="39" t="s">
        <v>61</v>
      </c>
      <c r="I8" s="39" t="s">
        <v>62</v>
      </c>
      <c r="J8" s="39"/>
      <c r="K8" s="39"/>
      <c r="L8" s="39"/>
      <c r="M8" s="39"/>
      <c r="N8" s="39"/>
      <c r="O8" s="39" t="s">
        <v>33</v>
      </c>
      <c r="P8" s="39" t="s">
        <v>63</v>
      </c>
      <c r="Q8" s="39" t="s">
        <v>33</v>
      </c>
      <c r="R8" s="39"/>
      <c r="S8" s="39"/>
      <c r="T8" s="39"/>
      <c r="U8" s="39" t="s">
        <v>34</v>
      </c>
      <c r="V8" s="39"/>
      <c r="W8" s="39"/>
      <c r="X8" s="39"/>
    </row>
    <row r="9" spans="1:27" x14ac:dyDescent="0.2">
      <c r="A9" s="39" t="s">
        <v>64</v>
      </c>
      <c r="B9" s="39" t="s">
        <v>65</v>
      </c>
      <c r="C9" s="39" t="s">
        <v>66</v>
      </c>
      <c r="D9" s="39" t="s">
        <v>67</v>
      </c>
      <c r="E9" s="39"/>
      <c r="F9" s="39" t="s">
        <v>59</v>
      </c>
      <c r="G9" s="39" t="s">
        <v>68</v>
      </c>
      <c r="H9" s="39" t="s">
        <v>69</v>
      </c>
      <c r="I9" s="39" t="s">
        <v>32</v>
      </c>
      <c r="J9" s="39"/>
      <c r="K9" s="39"/>
      <c r="L9" s="39"/>
      <c r="M9" s="39"/>
      <c r="N9" s="39"/>
      <c r="O9" s="39" t="s">
        <v>33</v>
      </c>
      <c r="P9" s="39" t="s">
        <v>70</v>
      </c>
      <c r="Q9" s="39" t="s">
        <v>33</v>
      </c>
      <c r="R9" s="39"/>
      <c r="S9" s="39"/>
      <c r="T9" s="39"/>
      <c r="U9" s="39" t="s">
        <v>34</v>
      </c>
      <c r="V9" s="39"/>
      <c r="W9" s="39"/>
      <c r="X9" s="39"/>
    </row>
    <row r="10" spans="1:27" x14ac:dyDescent="0.2">
      <c r="A10" s="39" t="s">
        <v>71</v>
      </c>
      <c r="B10" s="39" t="s">
        <v>72</v>
      </c>
      <c r="C10" s="39" t="s">
        <v>73</v>
      </c>
      <c r="D10" s="39" t="s">
        <v>74</v>
      </c>
      <c r="E10" s="39">
        <v>6000</v>
      </c>
      <c r="F10" s="39" t="s">
        <v>59</v>
      </c>
      <c r="G10" s="39" t="s">
        <v>75</v>
      </c>
      <c r="H10" s="39" t="s">
        <v>76</v>
      </c>
      <c r="I10" s="39" t="s">
        <v>32</v>
      </c>
      <c r="J10" s="39"/>
      <c r="K10" s="39"/>
      <c r="L10" s="39"/>
      <c r="M10" s="39"/>
      <c r="N10" s="39"/>
      <c r="O10" s="39" t="s">
        <v>33</v>
      </c>
      <c r="P10" s="39" t="s">
        <v>77</v>
      </c>
      <c r="Q10" s="39" t="s">
        <v>33</v>
      </c>
      <c r="R10" s="39"/>
      <c r="S10" s="39"/>
      <c r="T10" s="39"/>
      <c r="U10" s="39" t="s">
        <v>34</v>
      </c>
      <c r="V10" s="39"/>
      <c r="W10" s="39"/>
      <c r="X10" s="39"/>
    </row>
    <row r="11" spans="1:27" x14ac:dyDescent="0.2">
      <c r="A11" s="39" t="s">
        <v>78</v>
      </c>
      <c r="B11" s="39" t="s">
        <v>79</v>
      </c>
      <c r="C11" s="39" t="s">
        <v>80</v>
      </c>
      <c r="D11" s="39" t="s">
        <v>81</v>
      </c>
      <c r="E11" s="39"/>
      <c r="F11" s="39" t="s">
        <v>82</v>
      </c>
      <c r="G11" s="39" t="s">
        <v>83</v>
      </c>
      <c r="H11" s="39" t="s">
        <v>61</v>
      </c>
      <c r="I11" s="39" t="s">
        <v>84</v>
      </c>
      <c r="J11" s="39"/>
      <c r="K11" s="39"/>
      <c r="L11" s="39"/>
      <c r="M11" s="39"/>
      <c r="N11" s="39"/>
      <c r="O11" s="39" t="s">
        <v>85</v>
      </c>
      <c r="P11" s="39" t="s">
        <v>86</v>
      </c>
      <c r="Q11" s="39" t="s">
        <v>33</v>
      </c>
      <c r="R11" s="39"/>
      <c r="S11" s="39"/>
      <c r="T11" s="39"/>
      <c r="U11" s="39" t="s">
        <v>34</v>
      </c>
      <c r="V11" s="39"/>
      <c r="W11" s="39"/>
      <c r="X11" s="39"/>
    </row>
    <row r="12" spans="1:27" x14ac:dyDescent="0.2">
      <c r="A12" s="39" t="s">
        <v>87</v>
      </c>
      <c r="B12" s="39" t="s">
        <v>88</v>
      </c>
      <c r="C12" s="39" t="s">
        <v>89</v>
      </c>
      <c r="D12" s="39" t="s">
        <v>90</v>
      </c>
      <c r="E12" s="39"/>
      <c r="F12" s="39" t="s">
        <v>82</v>
      </c>
      <c r="G12" s="39" t="s">
        <v>83</v>
      </c>
      <c r="H12" s="39" t="s">
        <v>91</v>
      </c>
      <c r="I12" s="39" t="s">
        <v>62</v>
      </c>
      <c r="J12" s="39"/>
      <c r="K12" s="39"/>
      <c r="L12" s="39"/>
      <c r="M12" s="39"/>
      <c r="N12" s="39"/>
      <c r="O12" s="39"/>
      <c r="P12" s="39"/>
      <c r="Q12" s="39" t="s">
        <v>33</v>
      </c>
      <c r="R12" s="39"/>
      <c r="S12" s="39"/>
      <c r="T12" s="39"/>
      <c r="U12" s="39" t="s">
        <v>34</v>
      </c>
      <c r="V12" s="39"/>
      <c r="W12" s="39"/>
      <c r="X12" s="39"/>
    </row>
    <row r="13" spans="1:27" x14ac:dyDescent="0.2">
      <c r="A13" s="39" t="s">
        <v>92</v>
      </c>
      <c r="B13" s="39" t="s">
        <v>93</v>
      </c>
      <c r="C13" s="39" t="s">
        <v>94</v>
      </c>
      <c r="D13" s="39"/>
      <c r="E13" s="39"/>
      <c r="F13" s="39" t="s">
        <v>95</v>
      </c>
      <c r="G13" s="39" t="s">
        <v>96</v>
      </c>
      <c r="H13" s="39" t="s">
        <v>97</v>
      </c>
      <c r="I13" s="39" t="s">
        <v>62</v>
      </c>
      <c r="J13" s="39"/>
      <c r="K13" s="39"/>
      <c r="L13" s="39"/>
      <c r="M13" s="39"/>
      <c r="N13" s="39"/>
      <c r="O13" s="39"/>
      <c r="P13" s="39"/>
      <c r="Q13" s="39" t="s">
        <v>33</v>
      </c>
      <c r="R13" s="39"/>
      <c r="S13" s="39"/>
      <c r="T13" s="39"/>
      <c r="U13" s="39" t="s">
        <v>34</v>
      </c>
      <c r="V13" s="39"/>
      <c r="W13" s="39"/>
      <c r="X13" s="39"/>
    </row>
    <row r="14" spans="1:27" x14ac:dyDescent="0.2">
      <c r="A14" s="39" t="s">
        <v>98</v>
      </c>
      <c r="B14" s="39" t="s">
        <v>99</v>
      </c>
      <c r="C14" s="39" t="s">
        <v>100</v>
      </c>
      <c r="D14" s="39" t="s">
        <v>101</v>
      </c>
      <c r="E14" s="39"/>
      <c r="F14" s="39" t="s">
        <v>29</v>
      </c>
      <c r="G14" s="39" t="s">
        <v>102</v>
      </c>
      <c r="H14" s="39" t="s">
        <v>31</v>
      </c>
      <c r="I14" s="39" t="s">
        <v>32</v>
      </c>
      <c r="J14" s="39"/>
      <c r="K14" s="39"/>
      <c r="L14" s="39"/>
      <c r="M14" s="39"/>
      <c r="N14" s="39"/>
      <c r="O14" s="39"/>
      <c r="P14" s="39"/>
      <c r="Q14" s="39" t="s">
        <v>33</v>
      </c>
      <c r="R14" s="39"/>
      <c r="S14" s="39"/>
      <c r="T14" s="39"/>
      <c r="U14" s="39" t="s">
        <v>34</v>
      </c>
      <c r="V14" s="39"/>
      <c r="W14" s="39"/>
      <c r="X14" s="39"/>
    </row>
    <row r="15" spans="1:27" x14ac:dyDescent="0.2">
      <c r="A15" s="39" t="s">
        <v>103</v>
      </c>
      <c r="B15" s="39" t="s">
        <v>104</v>
      </c>
      <c r="C15" s="39" t="s">
        <v>105</v>
      </c>
      <c r="D15" s="39" t="s">
        <v>106</v>
      </c>
      <c r="E15" s="39"/>
      <c r="F15" s="39" t="s">
        <v>29</v>
      </c>
      <c r="G15" s="39" t="s">
        <v>102</v>
      </c>
      <c r="H15" s="39" t="s">
        <v>107</v>
      </c>
      <c r="I15" s="39" t="s">
        <v>32</v>
      </c>
      <c r="J15" s="39"/>
      <c r="K15" s="39"/>
      <c r="L15" s="39"/>
      <c r="M15" s="39"/>
      <c r="N15" s="39"/>
      <c r="O15" s="39"/>
      <c r="P15" s="39"/>
      <c r="Q15" s="39" t="s">
        <v>33</v>
      </c>
      <c r="R15" s="39"/>
      <c r="S15" s="39"/>
      <c r="T15" s="39"/>
      <c r="U15" s="39" t="s">
        <v>34</v>
      </c>
      <c r="V15" s="39"/>
      <c r="W15" s="39"/>
      <c r="X15" s="39"/>
    </row>
    <row r="16" spans="1:27" x14ac:dyDescent="0.2">
      <c r="A16" s="39" t="s">
        <v>108</v>
      </c>
      <c r="B16" s="39" t="s">
        <v>109</v>
      </c>
      <c r="C16" s="39" t="s">
        <v>110</v>
      </c>
      <c r="D16" s="39" t="s">
        <v>109</v>
      </c>
      <c r="E16" s="39"/>
      <c r="F16" s="39" t="s">
        <v>29</v>
      </c>
      <c r="G16" s="39" t="s">
        <v>111</v>
      </c>
      <c r="H16" s="39" t="s">
        <v>31</v>
      </c>
      <c r="I16" s="39" t="s">
        <v>32</v>
      </c>
      <c r="J16" s="39"/>
      <c r="K16" s="39"/>
      <c r="L16" s="39"/>
      <c r="M16" s="39"/>
      <c r="N16" s="39"/>
      <c r="O16" s="39"/>
      <c r="P16" s="39"/>
      <c r="Q16" s="39" t="s">
        <v>33</v>
      </c>
      <c r="R16" s="39"/>
      <c r="S16" s="39"/>
      <c r="T16" s="39"/>
      <c r="U16" s="39" t="s">
        <v>34</v>
      </c>
      <c r="V16" s="39"/>
      <c r="W16" s="39"/>
      <c r="X16" s="39"/>
    </row>
    <row r="17" spans="1:24" x14ac:dyDescent="0.2">
      <c r="A17" s="39" t="s">
        <v>112</v>
      </c>
      <c r="B17" s="39" t="s">
        <v>113</v>
      </c>
      <c r="C17" s="39" t="s">
        <v>114</v>
      </c>
      <c r="D17" s="39" t="s">
        <v>115</v>
      </c>
      <c r="E17" s="39"/>
      <c r="F17" s="39" t="s">
        <v>116</v>
      </c>
      <c r="G17" s="39" t="s">
        <v>117</v>
      </c>
      <c r="H17" s="39" t="s">
        <v>31</v>
      </c>
      <c r="I17" s="39" t="s">
        <v>32</v>
      </c>
      <c r="J17" s="39"/>
      <c r="K17" s="39"/>
      <c r="L17" s="39"/>
      <c r="M17" s="39"/>
      <c r="N17" s="39"/>
      <c r="O17" s="39"/>
      <c r="P17" s="39"/>
      <c r="Q17" s="39" t="s">
        <v>33</v>
      </c>
      <c r="R17" s="39"/>
      <c r="S17" s="39"/>
      <c r="T17" s="39"/>
      <c r="U17" s="39" t="s">
        <v>34</v>
      </c>
      <c r="V17" s="39"/>
      <c r="W17" s="39"/>
      <c r="X17" s="39"/>
    </row>
    <row r="18" spans="1:24" x14ac:dyDescent="0.2">
      <c r="A18" s="39" t="s">
        <v>118</v>
      </c>
      <c r="B18" s="39" t="s">
        <v>119</v>
      </c>
      <c r="C18" s="39" t="s">
        <v>120</v>
      </c>
      <c r="D18" s="39" t="s">
        <v>121</v>
      </c>
      <c r="E18" s="39"/>
      <c r="F18" s="39" t="s">
        <v>82</v>
      </c>
      <c r="G18" s="39" t="s">
        <v>122</v>
      </c>
      <c r="H18" s="39" t="s">
        <v>61</v>
      </c>
      <c r="I18" s="39" t="s">
        <v>62</v>
      </c>
      <c r="J18" s="39"/>
      <c r="K18" s="39"/>
      <c r="L18" s="39"/>
      <c r="M18" s="39"/>
      <c r="N18" s="39"/>
      <c r="O18" s="39"/>
      <c r="P18" s="39"/>
      <c r="Q18" s="39" t="s">
        <v>33</v>
      </c>
      <c r="R18" s="39"/>
      <c r="S18" s="39"/>
      <c r="T18" s="39"/>
      <c r="U18" s="39" t="s">
        <v>34</v>
      </c>
      <c r="V18" s="39"/>
      <c r="W18" s="39"/>
      <c r="X18" s="39"/>
    </row>
    <row r="19" spans="1:24" x14ac:dyDescent="0.2">
      <c r="A19" s="39" t="s">
        <v>123</v>
      </c>
      <c r="B19" s="39" t="s">
        <v>124</v>
      </c>
      <c r="C19" s="39" t="s">
        <v>125</v>
      </c>
      <c r="D19" s="39" t="s">
        <v>126</v>
      </c>
      <c r="E19" s="39"/>
      <c r="F19" s="39" t="s">
        <v>59</v>
      </c>
      <c r="G19" s="39" t="s">
        <v>127</v>
      </c>
      <c r="H19" s="39" t="s">
        <v>69</v>
      </c>
      <c r="I19" s="39" t="s">
        <v>128</v>
      </c>
      <c r="J19" s="39"/>
      <c r="K19" s="39"/>
      <c r="L19" s="39"/>
      <c r="M19" s="39"/>
      <c r="N19" s="39"/>
      <c r="O19" s="39" t="s">
        <v>33</v>
      </c>
      <c r="P19" s="39" t="s">
        <v>129</v>
      </c>
      <c r="Q19" s="39" t="s">
        <v>33</v>
      </c>
      <c r="R19" s="39"/>
      <c r="S19" s="39"/>
      <c r="T19" s="39"/>
      <c r="U19" s="39" t="s">
        <v>34</v>
      </c>
      <c r="V19" s="39"/>
      <c r="W19" s="39"/>
      <c r="X19" s="39"/>
    </row>
    <row r="20" spans="1:24" x14ac:dyDescent="0.2">
      <c r="A20" s="39" t="s">
        <v>130</v>
      </c>
      <c r="B20" s="39" t="s">
        <v>131</v>
      </c>
      <c r="C20" s="39" t="s">
        <v>132</v>
      </c>
      <c r="D20" s="39" t="s">
        <v>133</v>
      </c>
      <c r="E20" s="39"/>
      <c r="F20" s="39" t="s">
        <v>29</v>
      </c>
      <c r="G20" s="39" t="s">
        <v>102</v>
      </c>
      <c r="H20" s="39" t="s">
        <v>31</v>
      </c>
      <c r="I20" s="39" t="s">
        <v>32</v>
      </c>
      <c r="J20" s="39"/>
      <c r="K20" s="39"/>
      <c r="L20" s="39"/>
      <c r="M20" s="39"/>
      <c r="N20" s="39"/>
      <c r="O20" s="39"/>
      <c r="P20" s="39"/>
      <c r="Q20" s="39" t="s">
        <v>33</v>
      </c>
      <c r="R20" s="39"/>
      <c r="S20" s="39"/>
      <c r="T20" s="39"/>
      <c r="U20" s="39" t="s">
        <v>34</v>
      </c>
      <c r="V20" s="39"/>
      <c r="W20" s="39"/>
      <c r="X20" s="39"/>
    </row>
    <row r="21" spans="1:24" x14ac:dyDescent="0.2">
      <c r="A21" s="39" t="s">
        <v>134</v>
      </c>
      <c r="B21" s="39" t="s">
        <v>135</v>
      </c>
      <c r="C21" s="39" t="s">
        <v>136</v>
      </c>
      <c r="D21" s="39" t="s">
        <v>137</v>
      </c>
      <c r="E21" s="39"/>
      <c r="F21" s="39" t="s">
        <v>29</v>
      </c>
      <c r="G21" s="39" t="s">
        <v>138</v>
      </c>
      <c r="H21" s="39" t="s">
        <v>139</v>
      </c>
      <c r="I21" s="39" t="s">
        <v>32</v>
      </c>
      <c r="J21" s="39"/>
      <c r="K21" s="39"/>
      <c r="L21" s="39"/>
      <c r="M21" s="39"/>
      <c r="N21" s="39"/>
      <c r="O21" s="39"/>
      <c r="P21" s="39"/>
      <c r="Q21" s="39" t="s">
        <v>33</v>
      </c>
      <c r="R21" s="39"/>
      <c r="S21" s="39"/>
      <c r="T21" s="39"/>
      <c r="U21" s="39" t="s">
        <v>34</v>
      </c>
      <c r="V21" s="39"/>
      <c r="W21" s="39"/>
      <c r="X21" s="39"/>
    </row>
    <row r="22" spans="1:24" x14ac:dyDescent="0.2">
      <c r="A22" s="39" t="s">
        <v>140</v>
      </c>
      <c r="B22" s="39" t="s">
        <v>141</v>
      </c>
      <c r="C22" s="39" t="s">
        <v>142</v>
      </c>
      <c r="D22" s="39" t="s">
        <v>143</v>
      </c>
      <c r="E22" s="39">
        <v>2</v>
      </c>
      <c r="F22" s="39" t="s">
        <v>144</v>
      </c>
      <c r="G22" s="39" t="s">
        <v>145</v>
      </c>
      <c r="H22" s="39" t="s">
        <v>146</v>
      </c>
      <c r="I22" s="39" t="s">
        <v>32</v>
      </c>
      <c r="J22" s="39"/>
      <c r="K22" s="39"/>
      <c r="L22" s="39"/>
      <c r="M22" s="39"/>
      <c r="N22" s="39"/>
      <c r="O22" s="39"/>
      <c r="P22" s="39"/>
      <c r="Q22" s="39" t="s">
        <v>33</v>
      </c>
      <c r="R22" s="39"/>
      <c r="S22" s="39"/>
      <c r="T22" s="39"/>
      <c r="U22" s="39" t="s">
        <v>34</v>
      </c>
      <c r="V22" s="39"/>
      <c r="W22" s="39"/>
      <c r="X22" s="39"/>
    </row>
    <row r="23" spans="1:24" x14ac:dyDescent="0.2">
      <c r="A23" s="39" t="s">
        <v>147</v>
      </c>
      <c r="B23" s="39" t="s">
        <v>148</v>
      </c>
      <c r="C23" s="39" t="s">
        <v>149</v>
      </c>
      <c r="D23" s="39" t="s">
        <v>150</v>
      </c>
      <c r="E23" s="39"/>
      <c r="F23" s="39" t="s">
        <v>151</v>
      </c>
      <c r="G23" s="39" t="s">
        <v>152</v>
      </c>
      <c r="H23" s="39" t="s">
        <v>153</v>
      </c>
      <c r="I23" s="39" t="s">
        <v>154</v>
      </c>
      <c r="J23" s="39"/>
      <c r="K23" s="39"/>
      <c r="L23" s="39"/>
      <c r="M23" s="39"/>
      <c r="N23" s="39"/>
      <c r="O23" s="39"/>
      <c r="P23" s="39"/>
      <c r="Q23" s="39" t="s">
        <v>33</v>
      </c>
      <c r="R23" s="39"/>
      <c r="S23" s="39"/>
      <c r="T23" s="39"/>
      <c r="U23" s="39" t="s">
        <v>34</v>
      </c>
      <c r="V23" s="39"/>
      <c r="W23" s="39"/>
      <c r="X23" s="39"/>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0FF57-3301-274F-A7E4-982815EEC7D1}">
  <dimension ref="A1:E47"/>
  <sheetViews>
    <sheetView workbookViewId="0">
      <pane ySplit="3" topLeftCell="A4" activePane="bottomLeft" state="frozen"/>
      <selection pane="bottomLeft"/>
    </sheetView>
  </sheetViews>
  <sheetFormatPr baseColWidth="10" defaultRowHeight="16" x14ac:dyDescent="0.2"/>
  <cols>
    <col min="1" max="1" width="21.6640625" customWidth="1"/>
    <col min="2" max="2" width="55" customWidth="1"/>
    <col min="3" max="3" width="11.6640625" customWidth="1"/>
    <col min="4" max="4" width="25" customWidth="1"/>
    <col min="5" max="5" width="50" customWidth="1"/>
  </cols>
  <sheetData>
    <row r="1" spans="1:5" ht="19" x14ac:dyDescent="0.25">
      <c r="A1" s="1" t="s">
        <v>1413</v>
      </c>
    </row>
    <row r="2" spans="1:5" x14ac:dyDescent="0.2">
      <c r="A2" s="69" t="s">
        <v>1414</v>
      </c>
    </row>
    <row r="4" spans="1:5" x14ac:dyDescent="0.2">
      <c r="A4" s="70" t="s">
        <v>1415</v>
      </c>
    </row>
    <row r="5" spans="1:5" ht="17" x14ac:dyDescent="0.25">
      <c r="A5" s="121" t="s">
        <v>1416</v>
      </c>
    </row>
    <row r="6" spans="1:5" ht="17" x14ac:dyDescent="0.25">
      <c r="A6" s="13" t="s">
        <v>1417</v>
      </c>
      <c r="B6" s="122" t="s">
        <v>1418</v>
      </c>
    </row>
    <row r="8" spans="1:5" x14ac:dyDescent="0.2">
      <c r="A8" s="70" t="s">
        <v>1419</v>
      </c>
    </row>
    <row r="9" spans="1:5" x14ac:dyDescent="0.2">
      <c r="A9" s="37" t="s">
        <v>1420</v>
      </c>
      <c r="B9" s="37" t="s">
        <v>1421</v>
      </c>
      <c r="C9" s="37" t="s">
        <v>1422</v>
      </c>
      <c r="D9" s="37" t="s">
        <v>1423</v>
      </c>
      <c r="E9" s="37" t="s">
        <v>1424</v>
      </c>
    </row>
    <row r="10" spans="1:5" x14ac:dyDescent="0.2">
      <c r="A10" s="39">
        <v>1</v>
      </c>
      <c r="B10" s="39" t="s">
        <v>1425</v>
      </c>
      <c r="C10" s="39" t="s">
        <v>1426</v>
      </c>
      <c r="D10" s="39" t="s">
        <v>1427</v>
      </c>
      <c r="E10" s="39" t="s">
        <v>1428</v>
      </c>
    </row>
    <row r="11" spans="1:5" x14ac:dyDescent="0.2">
      <c r="A11" s="39">
        <v>2</v>
      </c>
      <c r="B11" s="39" t="s">
        <v>1429</v>
      </c>
      <c r="C11" s="39" t="s">
        <v>1426</v>
      </c>
      <c r="D11" s="39" t="s">
        <v>1430</v>
      </c>
      <c r="E11" s="39" t="s">
        <v>1431</v>
      </c>
    </row>
    <row r="12" spans="1:5" x14ac:dyDescent="0.2">
      <c r="A12" s="39">
        <v>3</v>
      </c>
      <c r="B12" s="39" t="s">
        <v>1432</v>
      </c>
      <c r="C12" s="39" t="s">
        <v>1426</v>
      </c>
      <c r="D12" s="39" t="s">
        <v>1433</v>
      </c>
      <c r="E12" s="39" t="s">
        <v>1434</v>
      </c>
    </row>
    <row r="13" spans="1:5" x14ac:dyDescent="0.2">
      <c r="A13" s="39">
        <v>4</v>
      </c>
      <c r="B13" s="39" t="s">
        <v>1435</v>
      </c>
      <c r="C13" s="39" t="s">
        <v>1436</v>
      </c>
      <c r="D13" s="39" t="s">
        <v>1437</v>
      </c>
      <c r="E13" s="39" t="s">
        <v>1438</v>
      </c>
    </row>
    <row r="14" spans="1:5" x14ac:dyDescent="0.2">
      <c r="A14" s="39">
        <v>5</v>
      </c>
      <c r="B14" s="39" t="s">
        <v>1439</v>
      </c>
      <c r="C14" s="39" t="s">
        <v>1440</v>
      </c>
      <c r="D14" s="39" t="s">
        <v>1441</v>
      </c>
      <c r="E14" s="39" t="s">
        <v>1442</v>
      </c>
    </row>
    <row r="15" spans="1:5" x14ac:dyDescent="0.2">
      <c r="A15" s="39">
        <v>6</v>
      </c>
      <c r="B15" s="39" t="s">
        <v>176</v>
      </c>
      <c r="C15" s="39" t="s">
        <v>1443</v>
      </c>
      <c r="D15" s="39" t="s">
        <v>1444</v>
      </c>
      <c r="E15" s="39" t="s">
        <v>1445</v>
      </c>
    </row>
    <row r="16" spans="1:5" x14ac:dyDescent="0.2">
      <c r="A16" s="39">
        <v>7</v>
      </c>
      <c r="B16" s="39" t="s">
        <v>1446</v>
      </c>
      <c r="C16" s="39" t="s">
        <v>1447</v>
      </c>
      <c r="D16" s="39" t="s">
        <v>1448</v>
      </c>
      <c r="E16" s="39" t="s">
        <v>1449</v>
      </c>
    </row>
    <row r="17" spans="1:5" x14ac:dyDescent="0.2">
      <c r="A17" s="39">
        <v>8</v>
      </c>
      <c r="B17" s="39" t="s">
        <v>1450</v>
      </c>
      <c r="C17" s="39" t="s">
        <v>1426</v>
      </c>
      <c r="D17" s="39" t="s">
        <v>1451</v>
      </c>
      <c r="E17" s="39" t="s">
        <v>1452</v>
      </c>
    </row>
    <row r="18" spans="1:5" x14ac:dyDescent="0.2">
      <c r="A18" s="39">
        <v>9</v>
      </c>
      <c r="B18" s="39" t="s">
        <v>1453</v>
      </c>
      <c r="C18" s="39" t="s">
        <v>1426</v>
      </c>
      <c r="D18" s="39" t="s">
        <v>1454</v>
      </c>
      <c r="E18" s="39" t="s">
        <v>1455</v>
      </c>
    </row>
    <row r="20" spans="1:5" x14ac:dyDescent="0.2">
      <c r="A20" s="70" t="s">
        <v>1456</v>
      </c>
    </row>
    <row r="21" spans="1:5" x14ac:dyDescent="0.2">
      <c r="A21" s="123" t="s">
        <v>1457</v>
      </c>
      <c r="B21" s="124" t="s">
        <v>1458</v>
      </c>
    </row>
    <row r="22" spans="1:5" x14ac:dyDescent="0.2">
      <c r="A22" s="123" t="s">
        <v>1117</v>
      </c>
      <c r="B22" s="124" t="s">
        <v>1459</v>
      </c>
    </row>
    <row r="23" spans="1:5" x14ac:dyDescent="0.2">
      <c r="A23" s="123" t="s">
        <v>6</v>
      </c>
      <c r="B23" s="124" t="s">
        <v>1460</v>
      </c>
    </row>
    <row r="24" spans="1:5" x14ac:dyDescent="0.2">
      <c r="A24" s="123" t="s">
        <v>1461</v>
      </c>
      <c r="B24" s="124" t="s">
        <v>950</v>
      </c>
    </row>
    <row r="25" spans="1:5" x14ac:dyDescent="0.2">
      <c r="A25" s="123" t="s">
        <v>177</v>
      </c>
      <c r="B25" s="124" t="s">
        <v>1462</v>
      </c>
    </row>
    <row r="26" spans="1:5" x14ac:dyDescent="0.2">
      <c r="A26" s="123" t="s">
        <v>176</v>
      </c>
      <c r="B26" s="124">
        <v>128</v>
      </c>
    </row>
    <row r="27" spans="1:5" x14ac:dyDescent="0.2">
      <c r="A27" s="123" t="s">
        <v>1463</v>
      </c>
      <c r="B27" s="124" t="s">
        <v>1464</v>
      </c>
    </row>
    <row r="28" spans="1:5" x14ac:dyDescent="0.2">
      <c r="A28" s="123" t="s">
        <v>1465</v>
      </c>
      <c r="B28" s="124" t="s">
        <v>1466</v>
      </c>
    </row>
    <row r="29" spans="1:5" x14ac:dyDescent="0.2">
      <c r="A29" s="123" t="s">
        <v>5</v>
      </c>
      <c r="B29" s="124">
        <v>2</v>
      </c>
    </row>
    <row r="30" spans="1:5" x14ac:dyDescent="0.2">
      <c r="A30" s="123" t="s">
        <v>158</v>
      </c>
      <c r="B30" s="124" t="s">
        <v>193</v>
      </c>
    </row>
    <row r="31" spans="1:5" ht="17" x14ac:dyDescent="0.25">
      <c r="A31" s="125" t="s">
        <v>1467</v>
      </c>
      <c r="B31" s="126" t="str">
        <f>B21&amp;"_"&amp;B22&amp;"_"&amp;B23&amp;IF(B24="","","_"&amp;B24)&amp;IF(B25="","","_"&amp;B25)&amp;IF(B26="","","_"&amp;B26)&amp;IF(B27="","","_"&amp;B27)&amp;"_"&amp;B28&amp;"_v"&amp;B29&amp;"."&amp;B30</f>
        <v>NA_DrumKitVol1_KICK_Punchy_Cmin_128_RR01_QA_v2.wav</v>
      </c>
    </row>
    <row r="33" spans="1:2" x14ac:dyDescent="0.2">
      <c r="A33" s="70" t="s">
        <v>1468</v>
      </c>
    </row>
    <row r="34" spans="1:2" ht="17" x14ac:dyDescent="0.25">
      <c r="A34" s="123" t="s">
        <v>187</v>
      </c>
      <c r="B34" s="127" t="s">
        <v>1469</v>
      </c>
    </row>
    <row r="35" spans="1:2" x14ac:dyDescent="0.2">
      <c r="A35" s="123" t="s">
        <v>1470</v>
      </c>
      <c r="B35" s="128">
        <v>46203</v>
      </c>
    </row>
    <row r="36" spans="1:2" x14ac:dyDescent="0.2">
      <c r="A36" s="123" t="s">
        <v>1465</v>
      </c>
      <c r="B36" s="124" t="s">
        <v>1466</v>
      </c>
    </row>
    <row r="37" spans="1:2" x14ac:dyDescent="0.2">
      <c r="A37" s="123" t="s">
        <v>1471</v>
      </c>
      <c r="B37" s="124" t="s">
        <v>1472</v>
      </c>
    </row>
    <row r="38" spans="1:2" ht="17" x14ac:dyDescent="0.25">
      <c r="A38" s="125" t="s">
        <v>1473</v>
      </c>
      <c r="B38" s="129" t="str">
        <f>"#"&amp;B36&amp;" | sha256:"&amp;LEFT(B34,12)&amp;"… | verified "&amp;TEXT(B35,"yyyy-mm-dd")&amp;" | learned:"&amp;B37</f>
        <v>#QA | sha256:a3f5e9c1b7d2… | verified 2026-06-30 | learned:LMStudio-Qwen2.5-72B</v>
      </c>
    </row>
    <row r="40" spans="1:2" x14ac:dyDescent="0.2">
      <c r="A40" s="19" t="s">
        <v>1474</v>
      </c>
    </row>
    <row r="41" spans="1:2" x14ac:dyDescent="0.2">
      <c r="A41" t="s">
        <v>1475</v>
      </c>
    </row>
    <row r="42" spans="1:2" x14ac:dyDescent="0.2">
      <c r="A42" t="s">
        <v>1476</v>
      </c>
    </row>
    <row r="43" spans="1:2" x14ac:dyDescent="0.2">
      <c r="A43" t="s">
        <v>1477</v>
      </c>
    </row>
    <row r="44" spans="1:2" x14ac:dyDescent="0.2">
      <c r="A44" t="s">
        <v>1478</v>
      </c>
    </row>
    <row r="45" spans="1:2" x14ac:dyDescent="0.2">
      <c r="A45" t="s">
        <v>1479</v>
      </c>
    </row>
    <row r="46" spans="1:2" x14ac:dyDescent="0.2">
      <c r="A46" t="s">
        <v>1480</v>
      </c>
    </row>
    <row r="47" spans="1:2" x14ac:dyDescent="0.2">
      <c r="A47" t="s">
        <v>1481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1D8E0-3AC3-864D-ADF2-92093DC8A8B6}">
  <dimension ref="A1:F29"/>
  <sheetViews>
    <sheetView workbookViewId="0">
      <pane ySplit="2" topLeftCell="A3" activePane="bottomLeft" state="frozen"/>
      <selection pane="bottomLeft" sqref="A1:F1"/>
    </sheetView>
  </sheetViews>
  <sheetFormatPr baseColWidth="10" defaultRowHeight="16" x14ac:dyDescent="0.2"/>
  <cols>
    <col min="1" max="1" width="26.6640625" customWidth="1"/>
    <col min="2" max="2" width="23.33203125" customWidth="1"/>
    <col min="3" max="3" width="4" customWidth="1"/>
    <col min="4" max="4" width="28.33203125" customWidth="1"/>
    <col min="5" max="5" width="20" customWidth="1"/>
    <col min="6" max="6" width="4" customWidth="1"/>
  </cols>
  <sheetData>
    <row r="1" spans="1:6" ht="21" x14ac:dyDescent="0.25">
      <c r="A1" s="417" t="s">
        <v>1540</v>
      </c>
      <c r="B1" s="417"/>
      <c r="C1" s="417"/>
      <c r="D1" s="417"/>
      <c r="E1" s="417"/>
      <c r="F1" s="417"/>
    </row>
    <row r="2" spans="1:6" x14ac:dyDescent="0.2">
      <c r="A2" s="386" t="s">
        <v>1541</v>
      </c>
      <c r="B2" s="386"/>
      <c r="C2" s="386"/>
      <c r="D2" s="386"/>
      <c r="E2" s="386"/>
      <c r="F2" s="386"/>
    </row>
    <row r="4" spans="1:6" x14ac:dyDescent="0.2">
      <c r="A4" s="71" t="s">
        <v>1542</v>
      </c>
      <c r="B4" s="39"/>
    </row>
    <row r="5" spans="1:6" ht="19" x14ac:dyDescent="0.25">
      <c r="A5" s="39" t="s">
        <v>1543</v>
      </c>
      <c r="B5" s="143">
        <f>IFERROR(Integrity!AA6/'Scan Queue'!V2,0)</f>
        <v>0.75</v>
      </c>
    </row>
    <row r="6" spans="1:6" ht="19" x14ac:dyDescent="0.25">
      <c r="A6" s="39" t="s">
        <v>1544</v>
      </c>
      <c r="B6" s="144">
        <f>'Scan Queue'!V2*1+'Scan Queue'!V7*2+Integrity!AA6*25+'Scan Queue'!V9*5</f>
        <v>95</v>
      </c>
    </row>
    <row r="7" spans="1:6" ht="19" x14ac:dyDescent="0.25">
      <c r="A7" s="39" t="s">
        <v>1545</v>
      </c>
      <c r="B7" s="145" t="str">
        <f>IF(B6&gt;=1000,"5 — LEGEND",IF(B6&gt;=500,"4 — MASTER",IF(B6&gt;=200,"3 — PRO",IF(B6&gt;=50,"2 — RISING","1 — RECRUIT"))))</f>
        <v>2 — RISING</v>
      </c>
    </row>
    <row r="9" spans="1:6" x14ac:dyDescent="0.2">
      <c r="A9" s="37" t="s">
        <v>1546</v>
      </c>
      <c r="B9" s="39"/>
      <c r="D9" s="37" t="s">
        <v>1553</v>
      </c>
      <c r="E9" s="39"/>
    </row>
    <row r="10" spans="1:6" x14ac:dyDescent="0.2">
      <c r="A10" s="39" t="s">
        <v>1547</v>
      </c>
      <c r="B10" s="123">
        <f>'Scan Queue'!V2</f>
        <v>4</v>
      </c>
      <c r="D10" s="39" t="s">
        <v>738</v>
      </c>
      <c r="E10" s="138">
        <f>'Scan Queue'!V3</f>
        <v>2</v>
      </c>
    </row>
    <row r="11" spans="1:6" x14ac:dyDescent="0.2">
      <c r="A11" s="39" t="s">
        <v>1548</v>
      </c>
      <c r="B11" s="123">
        <f>'Scan Queue'!V7</f>
        <v>3</v>
      </c>
      <c r="D11" s="39" t="s">
        <v>747</v>
      </c>
      <c r="E11" s="137">
        <f>'Scan Queue'!V4</f>
        <v>0</v>
      </c>
    </row>
    <row r="12" spans="1:6" x14ac:dyDescent="0.2">
      <c r="A12" s="39" t="s">
        <v>1549</v>
      </c>
      <c r="B12" s="135">
        <f>Integrity!AA6</f>
        <v>3</v>
      </c>
      <c r="D12" s="39" t="s">
        <v>755</v>
      </c>
      <c r="E12" s="139">
        <f>'Scan Queue'!V5</f>
        <v>1</v>
      </c>
    </row>
    <row r="13" spans="1:6" x14ac:dyDescent="0.2">
      <c r="A13" s="39" t="s">
        <v>1550</v>
      </c>
      <c r="B13" s="136">
        <f>'Scan Queue'!V8</f>
        <v>1</v>
      </c>
      <c r="D13" s="39" t="s">
        <v>1235</v>
      </c>
      <c r="E13" s="140">
        <f>'Scan Queue'!V6</f>
        <v>1</v>
      </c>
    </row>
    <row r="14" spans="1:6" x14ac:dyDescent="0.2">
      <c r="A14" s="39" t="s">
        <v>1551</v>
      </c>
      <c r="B14" s="137">
        <f>'Scan Queue'!V9</f>
        <v>2</v>
      </c>
    </row>
    <row r="15" spans="1:6" x14ac:dyDescent="0.2">
      <c r="A15" s="39" t="s">
        <v>1552</v>
      </c>
      <c r="B15" s="137">
        <f>Integrity!AA5</f>
        <v>1</v>
      </c>
    </row>
    <row r="17" spans="1:5" x14ac:dyDescent="0.2">
      <c r="A17" s="141" t="s">
        <v>1554</v>
      </c>
      <c r="B17" s="39"/>
      <c r="D17" s="37" t="s">
        <v>1561</v>
      </c>
      <c r="E17" s="39"/>
    </row>
    <row r="18" spans="1:5" x14ac:dyDescent="0.2">
      <c r="A18" s="39" t="s">
        <v>1555</v>
      </c>
      <c r="B18" s="39" t="str">
        <f>IF('Scan Queue'!V2&gt;=1,"🏆 UNLOCKED","🔒 locked")</f>
        <v>🏆 UNLOCKED</v>
      </c>
      <c r="D18" s="39" t="s">
        <v>1562</v>
      </c>
      <c r="E18" s="142"/>
    </row>
    <row r="19" spans="1:5" x14ac:dyDescent="0.2">
      <c r="A19" s="39" t="s">
        <v>1556</v>
      </c>
      <c r="B19" s="39" t="str">
        <f>IF('Scan Queue'!V2&gt;=100,"🏆 UNLOCKED","🔒 "&amp;'Scan Queue'!V2&amp;"/100")</f>
        <v>🔒 4/100</v>
      </c>
      <c r="D19" s="39" t="s">
        <v>1563</v>
      </c>
      <c r="E19" s="142"/>
    </row>
    <row r="20" spans="1:5" x14ac:dyDescent="0.2">
      <c r="A20" s="39" t="s">
        <v>1557</v>
      </c>
      <c r="B20" s="39" t="str">
        <f>IF(AND('Scan Queue'!V2&gt;0,'Scan Queue'!V8=0),"🏆 UNLOCKED","🔒 "&amp;'Scan Queue'!V8&amp;" left")</f>
        <v>🔒 1 left</v>
      </c>
      <c r="D20" s="39" t="s">
        <v>1564</v>
      </c>
      <c r="E20" s="142"/>
    </row>
    <row r="21" spans="1:5" x14ac:dyDescent="0.2">
      <c r="A21" s="39" t="s">
        <v>1558</v>
      </c>
      <c r="B21" s="39" t="str">
        <f>IF('Scan Queue'!V9&gt;=50,"🏆 UNLOCKED","🔒 "&amp;'Scan Queue'!V9&amp;"/50")</f>
        <v>🔒 2/50</v>
      </c>
      <c r="D21" s="39" t="s">
        <v>1565</v>
      </c>
      <c r="E21" s="142"/>
    </row>
    <row r="22" spans="1:5" x14ac:dyDescent="0.2">
      <c r="A22" s="39" t="s">
        <v>1559</v>
      </c>
      <c r="B22" s="39" t="str">
        <f>IF(Integrity!AA6&gt;=100,"🏆 UNLOCKED","🔒 "&amp;Integrity!AA6&amp;"/100")</f>
        <v>🔒 3/100</v>
      </c>
    </row>
    <row r="23" spans="1:5" x14ac:dyDescent="0.2">
      <c r="A23" s="39" t="s">
        <v>1560</v>
      </c>
      <c r="B23" s="39" t="str">
        <f>IF(AND('Scan Queue'!V2&gt;0,Integrity!AA6&gt;='Scan Queue'!V2),"🏆 UNLOCKED","🔒 in progress")</f>
        <v>🔒 in progress</v>
      </c>
    </row>
    <row r="25" spans="1:5" x14ac:dyDescent="0.2">
      <c r="A25" s="70" t="s">
        <v>1588</v>
      </c>
      <c r="B25" s="70" t="s">
        <v>1589</v>
      </c>
      <c r="C25" s="70" t="s">
        <v>1590</v>
      </c>
    </row>
    <row r="26" spans="1:5" x14ac:dyDescent="0.2">
      <c r="A26" s="152" t="s">
        <v>1591</v>
      </c>
      <c r="B26">
        <f>Integrity!AA9</f>
        <v>2</v>
      </c>
      <c r="C26" s="151" t="str">
        <f>REPT("█",Integrity!AA9)</f>
        <v>██</v>
      </c>
    </row>
    <row r="27" spans="1:5" x14ac:dyDescent="0.2">
      <c r="A27" s="153" t="s">
        <v>1592</v>
      </c>
      <c r="B27">
        <f>Integrity!AA10</f>
        <v>1</v>
      </c>
      <c r="C27" s="153" t="str">
        <f>REPT("█",Integrity!AA10)</f>
        <v>█</v>
      </c>
    </row>
    <row r="28" spans="1:5" x14ac:dyDescent="0.2">
      <c r="A28" s="154" t="s">
        <v>1593</v>
      </c>
      <c r="B28">
        <f>Integrity!AA11</f>
        <v>0</v>
      </c>
      <c r="C28" s="154" t="str">
        <f>REPT("█",Integrity!AA11)</f>
        <v/>
      </c>
    </row>
    <row r="29" spans="1:5" x14ac:dyDescent="0.2">
      <c r="A29" s="155" t="s">
        <v>1594</v>
      </c>
      <c r="B29">
        <f>Integrity!AA12</f>
        <v>1</v>
      </c>
      <c r="C29" s="24" t="str">
        <f>REPT("█",Integrity!AA12)</f>
        <v>█</v>
      </c>
    </row>
  </sheetData>
  <mergeCells count="2">
    <mergeCell ref="A1:F1"/>
    <mergeCell ref="A2:F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8F408-AE8A-7444-9BD4-82DA38ACA2FE}">
  <dimension ref="A1:K20"/>
  <sheetViews>
    <sheetView workbookViewId="0">
      <pane ySplit="3" topLeftCell="A4" activePane="bottomLeft" state="frozen"/>
      <selection pane="bottomLeft"/>
    </sheetView>
  </sheetViews>
  <sheetFormatPr baseColWidth="10" defaultRowHeight="16" x14ac:dyDescent="0.2"/>
  <cols>
    <col min="1" max="1" width="20" customWidth="1"/>
    <col min="2" max="2" width="25" customWidth="1"/>
    <col min="3" max="3" width="18.33203125" customWidth="1"/>
    <col min="4" max="4" width="21.6640625" customWidth="1"/>
    <col min="5" max="5" width="18.33203125" customWidth="1"/>
    <col min="6" max="6" width="23.33203125" customWidth="1"/>
    <col min="7" max="7" width="16.6640625" customWidth="1"/>
    <col min="8" max="8" width="15" customWidth="1"/>
    <col min="9" max="9" width="18.33203125" customWidth="1"/>
    <col min="10" max="10" width="15" customWidth="1"/>
    <col min="11" max="11" width="33.33203125" customWidth="1"/>
  </cols>
  <sheetData>
    <row r="1" spans="1:11" ht="19" x14ac:dyDescent="0.25">
      <c r="A1" s="1" t="s">
        <v>1595</v>
      </c>
    </row>
    <row r="2" spans="1:11" x14ac:dyDescent="0.2">
      <c r="A2" s="69" t="s">
        <v>1596</v>
      </c>
    </row>
    <row r="3" spans="1:11" x14ac:dyDescent="0.2">
      <c r="A3" s="37" t="s">
        <v>1597</v>
      </c>
      <c r="B3" s="37" t="s">
        <v>1598</v>
      </c>
      <c r="C3" s="37" t="s">
        <v>1248</v>
      </c>
      <c r="D3" s="37" t="s">
        <v>939</v>
      </c>
      <c r="E3" s="37" t="s">
        <v>1484</v>
      </c>
      <c r="F3" s="37" t="s">
        <v>1599</v>
      </c>
      <c r="G3" s="37" t="s">
        <v>1600</v>
      </c>
      <c r="H3" s="37" t="s">
        <v>1601</v>
      </c>
      <c r="I3" s="37" t="s">
        <v>1602</v>
      </c>
      <c r="J3" s="37" t="s">
        <v>21</v>
      </c>
      <c r="K3" s="37" t="s">
        <v>24</v>
      </c>
    </row>
    <row r="4" spans="1:11" x14ac:dyDescent="0.2">
      <c r="A4" s="39" t="s">
        <v>1603</v>
      </c>
      <c r="B4" s="39" t="s">
        <v>1459</v>
      </c>
      <c r="C4" s="39" t="s">
        <v>25</v>
      </c>
      <c r="D4" s="39" t="s">
        <v>738</v>
      </c>
      <c r="E4" s="39" t="s">
        <v>1510</v>
      </c>
      <c r="F4" s="39" t="s">
        <v>1604</v>
      </c>
      <c r="G4" s="159">
        <v>0.7</v>
      </c>
      <c r="H4" s="159">
        <v>0.7</v>
      </c>
      <c r="I4" s="39" t="s">
        <v>1605</v>
      </c>
      <c r="J4" s="39" t="s">
        <v>1606</v>
      </c>
      <c r="K4" s="39" t="s">
        <v>1607</v>
      </c>
    </row>
    <row r="5" spans="1:11" x14ac:dyDescent="0.2">
      <c r="A5" s="39" t="s">
        <v>1608</v>
      </c>
      <c r="B5" s="39" t="s">
        <v>1459</v>
      </c>
      <c r="C5" s="39" t="s">
        <v>25</v>
      </c>
      <c r="D5" s="39" t="s">
        <v>738</v>
      </c>
      <c r="E5" s="39" t="s">
        <v>1483</v>
      </c>
      <c r="F5" s="39" t="s">
        <v>1609</v>
      </c>
      <c r="G5" s="159">
        <v>0.3</v>
      </c>
      <c r="H5" s="159">
        <v>0.3</v>
      </c>
      <c r="I5" s="39" t="s">
        <v>1610</v>
      </c>
      <c r="J5" s="39" t="s">
        <v>1606</v>
      </c>
      <c r="K5" s="39" t="s">
        <v>1611</v>
      </c>
    </row>
    <row r="6" spans="1:11" x14ac:dyDescent="0.2">
      <c r="A6" s="39" t="s">
        <v>1612</v>
      </c>
      <c r="B6" s="39" t="s">
        <v>928</v>
      </c>
      <c r="C6" s="39" t="s">
        <v>55</v>
      </c>
      <c r="D6" s="39" t="s">
        <v>755</v>
      </c>
      <c r="E6" s="39" t="s">
        <v>1510</v>
      </c>
      <c r="F6" s="39" t="s">
        <v>1613</v>
      </c>
      <c r="G6" s="159">
        <v>0.6</v>
      </c>
      <c r="H6" s="159">
        <v>0.6</v>
      </c>
      <c r="I6" s="39" t="s">
        <v>1605</v>
      </c>
      <c r="J6" s="39" t="s">
        <v>1606</v>
      </c>
      <c r="K6" s="39"/>
    </row>
    <row r="7" spans="1:11" x14ac:dyDescent="0.2">
      <c r="A7" s="39" t="s">
        <v>1614</v>
      </c>
      <c r="B7" s="39" t="s">
        <v>928</v>
      </c>
      <c r="C7" s="39" t="s">
        <v>55</v>
      </c>
      <c r="D7" s="39" t="s">
        <v>755</v>
      </c>
      <c r="E7" s="39" t="s">
        <v>1492</v>
      </c>
      <c r="F7" s="39" t="s">
        <v>1615</v>
      </c>
      <c r="G7" s="159">
        <v>0.4</v>
      </c>
      <c r="H7" s="159">
        <v>0.4</v>
      </c>
      <c r="I7" s="39" t="s">
        <v>1616</v>
      </c>
      <c r="J7" s="39" t="s">
        <v>1617</v>
      </c>
      <c r="K7" s="39" t="s">
        <v>1618</v>
      </c>
    </row>
    <row r="8" spans="1:11" x14ac:dyDescent="0.2">
      <c r="A8" s="39" t="s">
        <v>1619</v>
      </c>
      <c r="B8" s="39" t="s">
        <v>1620</v>
      </c>
      <c r="C8" s="39" t="s">
        <v>1621</v>
      </c>
      <c r="D8" s="39" t="s">
        <v>1498</v>
      </c>
      <c r="E8" s="39" t="s">
        <v>1510</v>
      </c>
      <c r="F8" s="39" t="s">
        <v>1613</v>
      </c>
      <c r="G8" s="159">
        <v>0.5</v>
      </c>
      <c r="H8" s="159">
        <v>0.5</v>
      </c>
      <c r="I8" s="39" t="s">
        <v>1605</v>
      </c>
      <c r="J8" s="39" t="s">
        <v>1606</v>
      </c>
      <c r="K8" s="39"/>
    </row>
    <row r="9" spans="1:11" x14ac:dyDescent="0.2">
      <c r="A9" s="39" t="s">
        <v>1622</v>
      </c>
      <c r="B9" s="39" t="s">
        <v>1620</v>
      </c>
      <c r="C9" s="39" t="s">
        <v>1621</v>
      </c>
      <c r="D9" s="39" t="s">
        <v>1498</v>
      </c>
      <c r="E9" s="39" t="s">
        <v>1483</v>
      </c>
      <c r="F9" s="39" t="s">
        <v>1623</v>
      </c>
      <c r="G9" s="159">
        <v>0.25</v>
      </c>
      <c r="H9" s="159">
        <v>0.25</v>
      </c>
      <c r="I9" s="39" t="s">
        <v>1624</v>
      </c>
      <c r="J9" s="39" t="s">
        <v>1606</v>
      </c>
      <c r="K9" s="39"/>
    </row>
    <row r="10" spans="1:11" x14ac:dyDescent="0.2">
      <c r="A10" s="39" t="s">
        <v>1625</v>
      </c>
      <c r="B10" s="39" t="s">
        <v>1620</v>
      </c>
      <c r="C10" s="39" t="s">
        <v>1621</v>
      </c>
      <c r="D10" s="39" t="s">
        <v>1498</v>
      </c>
      <c r="E10" s="39" t="s">
        <v>1492</v>
      </c>
      <c r="F10" s="39" t="s">
        <v>218</v>
      </c>
      <c r="G10" s="159">
        <v>0.25</v>
      </c>
      <c r="H10" s="159">
        <v>0.25</v>
      </c>
      <c r="I10" s="39" t="s">
        <v>1626</v>
      </c>
      <c r="J10" s="39" t="s">
        <v>1617</v>
      </c>
      <c r="K10" s="39"/>
    </row>
    <row r="12" spans="1:11" x14ac:dyDescent="0.2">
      <c r="A12" s="71" t="s">
        <v>1627</v>
      </c>
      <c r="B12" s="39"/>
      <c r="C12" s="39"/>
    </row>
    <row r="13" spans="1:11" x14ac:dyDescent="0.2">
      <c r="A13" s="39" t="s">
        <v>1459</v>
      </c>
      <c r="B13" s="159">
        <f>SUMIF($B$4:$B$10,A13,$G$4:$G$10)</f>
        <v>1</v>
      </c>
      <c r="C13" s="39" t="str">
        <f>IF(ROUND(B13,2)=1,"✓ balanced","⚠ fix "&amp;TEXT(B13,"0%"))</f>
        <v>✓ balanced</v>
      </c>
    </row>
    <row r="14" spans="1:11" x14ac:dyDescent="0.2">
      <c r="A14" s="39" t="s">
        <v>928</v>
      </c>
      <c r="B14" s="159">
        <f>SUMIF($B$4:$B$10,A14,$G$4:$G$10)</f>
        <v>1</v>
      </c>
      <c r="C14" s="39" t="str">
        <f>IF(ROUND(B14,2)=1,"✓ balanced","⚠ fix "&amp;TEXT(B14,"0%"))</f>
        <v>✓ balanced</v>
      </c>
    </row>
    <row r="15" spans="1:11" x14ac:dyDescent="0.2">
      <c r="A15" s="39" t="s">
        <v>1620</v>
      </c>
      <c r="B15" s="159">
        <f>SUMIF($B$4:$B$10,A15,$G$4:$G$10)</f>
        <v>1</v>
      </c>
      <c r="C15" s="39" t="str">
        <f>IF(ROUND(B15,2)=1,"✓ balanced","⚠ fix "&amp;TEXT(B15,"0%"))</f>
        <v>✓ balanced</v>
      </c>
    </row>
    <row r="17" spans="1:2" x14ac:dyDescent="0.2">
      <c r="A17" s="161" t="s">
        <v>1628</v>
      </c>
      <c r="B17" s="39"/>
    </row>
    <row r="18" spans="1:2" x14ac:dyDescent="0.2">
      <c r="A18" s="39" t="s">
        <v>1483</v>
      </c>
      <c r="B18" s="159">
        <f>SUMIF($E$4:$E$10,A18,$G$4:$G$10)</f>
        <v>0.55000000000000004</v>
      </c>
    </row>
    <row r="19" spans="1:2" x14ac:dyDescent="0.2">
      <c r="A19" s="39" t="s">
        <v>1492</v>
      </c>
      <c r="B19" s="159">
        <f>SUMIF($E$4:$E$10,A19,$G$4:$G$10)</f>
        <v>0.65</v>
      </c>
    </row>
    <row r="20" spans="1:2" x14ac:dyDescent="0.2">
      <c r="A20" s="39" t="s">
        <v>1510</v>
      </c>
      <c r="B20" s="159">
        <f>SUMIF($E$4:$E$10,A20,$G$4:$G$10)</f>
        <v>1.7999999999999998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AC967-B558-D644-A0AC-1100B0B0C064}">
  <dimension ref="A1:W31"/>
  <sheetViews>
    <sheetView workbookViewId="0">
      <pane ySplit="7" topLeftCell="A8" activePane="bottomLeft" state="frozen"/>
      <selection pane="bottomLeft"/>
    </sheetView>
  </sheetViews>
  <sheetFormatPr baseColWidth="10" defaultRowHeight="16" x14ac:dyDescent="0.2"/>
  <cols>
    <col min="1" max="1" width="11.6640625" customWidth="1"/>
    <col min="2" max="2" width="21.6640625" customWidth="1"/>
    <col min="3" max="3" width="15" customWidth="1"/>
    <col min="4" max="4" width="36.6640625" customWidth="1"/>
    <col min="5" max="6" width="12.5" customWidth="1"/>
    <col min="7" max="8" width="13.33203125" customWidth="1"/>
    <col min="9" max="9" width="28.33203125" customWidth="1"/>
    <col min="11" max="11" width="13.33203125" customWidth="1"/>
    <col min="12" max="12" width="20" customWidth="1"/>
    <col min="14" max="14" width="18.33203125" customWidth="1"/>
    <col min="15" max="15" width="9.1640625" customWidth="1"/>
    <col min="16" max="16" width="18.33203125" customWidth="1"/>
    <col min="17" max="17" width="13.33203125" customWidth="1"/>
    <col min="19" max="19" width="20" customWidth="1"/>
    <col min="22" max="22" width="25" customWidth="1"/>
    <col min="23" max="23" width="11.6640625" customWidth="1"/>
  </cols>
  <sheetData>
    <row r="1" spans="1:23" ht="19" x14ac:dyDescent="0.25">
      <c r="A1" s="1" t="s">
        <v>1629</v>
      </c>
      <c r="V1" s="177" t="s">
        <v>1242</v>
      </c>
      <c r="W1" s="47"/>
    </row>
    <row r="2" spans="1:23" x14ac:dyDescent="0.2">
      <c r="A2" s="386" t="s">
        <v>1630</v>
      </c>
      <c r="B2" s="386"/>
      <c r="C2" s="386"/>
      <c r="D2" s="386"/>
      <c r="E2" s="386"/>
      <c r="F2" s="386"/>
      <c r="G2" s="386"/>
      <c r="H2" s="386"/>
      <c r="I2" s="386"/>
      <c r="J2" s="386"/>
      <c r="K2" s="386"/>
      <c r="L2" s="386"/>
      <c r="M2" s="386"/>
      <c r="N2" s="386"/>
      <c r="O2" s="386"/>
      <c r="P2" s="386"/>
      <c r="Q2" s="386"/>
      <c r="R2" s="386"/>
      <c r="S2" s="386"/>
      <c r="T2" s="386"/>
      <c r="V2" s="47" t="s">
        <v>1659</v>
      </c>
      <c r="W2" s="47">
        <f>COUNTA($B$8:$B$19)</f>
        <v>2</v>
      </c>
    </row>
    <row r="3" spans="1:23" x14ac:dyDescent="0.2">
      <c r="V3" s="47" t="s">
        <v>1660</v>
      </c>
      <c r="W3" s="47">
        <f>COUNTIF($P$8:$P$500,"✓ 3-2-1")</f>
        <v>0</v>
      </c>
    </row>
    <row r="4" spans="1:23" x14ac:dyDescent="0.2">
      <c r="A4" s="401" t="str">
        <f>"CONFIRMATION:  "&amp;W3&amp;" of "&amp;W2&amp;" drives confirmed 3-2-1  |  "&amp;W4&amp;" CRITICAL single-copy  |  "&amp;W5&amp;" pending verification"</f>
        <v>CONFIRMATION:  0 of 2 drives confirmed 3-2-1  |  2 CRITICAL single-copy  |  2 pending verification</v>
      </c>
      <c r="B4" s="401"/>
      <c r="C4" s="401"/>
      <c r="D4" s="401"/>
      <c r="E4" s="401"/>
      <c r="F4" s="401"/>
      <c r="G4" s="401"/>
      <c r="H4" s="401"/>
      <c r="I4" s="401"/>
      <c r="J4" s="401"/>
      <c r="K4" s="401"/>
      <c r="L4" s="401"/>
      <c r="M4" s="401"/>
      <c r="N4" s="401"/>
      <c r="O4" s="401"/>
      <c r="P4" s="401"/>
      <c r="Q4" s="401"/>
      <c r="R4" s="401"/>
      <c r="S4" s="401"/>
      <c r="T4" s="401"/>
      <c r="V4" s="47" t="s">
        <v>1661</v>
      </c>
      <c r="W4" s="47">
        <f>COUNTIF($Q$8:$Q$500,"CRITICAL")</f>
        <v>2</v>
      </c>
    </row>
    <row r="5" spans="1:23" x14ac:dyDescent="0.2">
      <c r="V5" s="47" t="s">
        <v>1662</v>
      </c>
      <c r="W5" s="47">
        <f>COUNTIF($S$8:$S$500,"PENDING VERIFY")</f>
        <v>2</v>
      </c>
    </row>
    <row r="6" spans="1:23" x14ac:dyDescent="0.2">
      <c r="A6" s="70" t="s">
        <v>1631</v>
      </c>
      <c r="V6" s="47" t="s">
        <v>1663</v>
      </c>
      <c r="W6" s="47">
        <f>SUM($E$8:$E$500)</f>
        <v>16000</v>
      </c>
    </row>
    <row r="7" spans="1:23" x14ac:dyDescent="0.2">
      <c r="A7" s="180" t="s">
        <v>1632</v>
      </c>
      <c r="B7" s="180" t="s">
        <v>1633</v>
      </c>
      <c r="C7" s="180" t="s">
        <v>729</v>
      </c>
      <c r="D7" s="180" t="s">
        <v>1634</v>
      </c>
      <c r="E7" s="180" t="s">
        <v>1635</v>
      </c>
      <c r="F7" s="180" t="s">
        <v>1636</v>
      </c>
      <c r="G7" s="180" t="s">
        <v>1637</v>
      </c>
      <c r="H7" s="180" t="s">
        <v>1638</v>
      </c>
      <c r="I7" s="180" t="s">
        <v>1639</v>
      </c>
      <c r="J7" s="180" t="s">
        <v>1640</v>
      </c>
      <c r="K7" s="180" t="s">
        <v>1641</v>
      </c>
      <c r="L7" s="180" t="s">
        <v>1642</v>
      </c>
      <c r="M7" s="180" t="s">
        <v>1643</v>
      </c>
      <c r="N7" s="180" t="s">
        <v>1644</v>
      </c>
      <c r="O7" s="180" t="s">
        <v>1645</v>
      </c>
      <c r="P7" s="180" t="s">
        <v>1646</v>
      </c>
      <c r="Q7" s="180" t="s">
        <v>1647</v>
      </c>
      <c r="R7" s="180" t="s">
        <v>1648</v>
      </c>
      <c r="S7" s="180" t="s">
        <v>21</v>
      </c>
      <c r="T7" s="180" t="s">
        <v>24</v>
      </c>
    </row>
    <row r="8" spans="1:23" x14ac:dyDescent="0.2">
      <c r="A8" s="39" t="s">
        <v>1649</v>
      </c>
      <c r="B8" s="39" t="s">
        <v>1650</v>
      </c>
      <c r="C8" s="39" t="s">
        <v>1651</v>
      </c>
      <c r="D8" s="39" t="s">
        <v>1652</v>
      </c>
      <c r="E8" s="39">
        <v>12000</v>
      </c>
      <c r="F8" s="39" t="s">
        <v>313</v>
      </c>
      <c r="G8" s="39" t="s">
        <v>33</v>
      </c>
      <c r="H8" s="39" t="s">
        <v>313</v>
      </c>
      <c r="I8" s="39"/>
      <c r="J8" s="39"/>
      <c r="K8" s="39" t="s">
        <v>313</v>
      </c>
      <c r="L8" s="39"/>
      <c r="M8" s="39"/>
      <c r="N8" s="39" t="s">
        <v>1653</v>
      </c>
      <c r="O8" s="39">
        <f>1+IF(H8="Y",1,0)+IF(K8="Y",1,0)</f>
        <v>1</v>
      </c>
      <c r="P8" s="39" t="str">
        <f>IF(AND(O8&gt;=3,K8="Y"),"✓ 3-2-1",IF(O8=2,"partial (2 copies)","✗ single copy"))</f>
        <v>✗ single copy</v>
      </c>
      <c r="Q8" s="182" t="str">
        <f>IF(O8&gt;=3,"SAFE",IF(O8=2,"WARN","CRITICAL"))</f>
        <v>CRITICAL</v>
      </c>
      <c r="R8" s="39"/>
      <c r="S8" s="39" t="str">
        <f>IF(AND(H8="Y",K8="Y"),"Confirmed",IF(OR(H8="?",K8="?",H8="",K8=""),"PENDING VERIFY","Partial"))</f>
        <v>PENDING VERIFY</v>
      </c>
      <c r="T8" s="39" t="s">
        <v>1654</v>
      </c>
    </row>
    <row r="9" spans="1:23" x14ac:dyDescent="0.2">
      <c r="A9" s="39" t="s">
        <v>1655</v>
      </c>
      <c r="B9" s="39" t="s">
        <v>1656</v>
      </c>
      <c r="C9" s="39" t="s">
        <v>1657</v>
      </c>
      <c r="D9" s="39" t="s">
        <v>1658</v>
      </c>
      <c r="E9" s="39">
        <v>4000</v>
      </c>
      <c r="F9" s="39" t="s">
        <v>313</v>
      </c>
      <c r="G9" s="39" t="s">
        <v>33</v>
      </c>
      <c r="H9" s="39" t="s">
        <v>313</v>
      </c>
      <c r="I9" s="39"/>
      <c r="J9" s="39"/>
      <c r="K9" s="39" t="s">
        <v>313</v>
      </c>
      <c r="L9" s="39"/>
      <c r="M9" s="39"/>
      <c r="N9" s="39" t="s">
        <v>1653</v>
      </c>
      <c r="O9" s="39">
        <f>1+IF(H9="Y",1,0)+IF(K9="Y",1,0)</f>
        <v>1</v>
      </c>
      <c r="P9" s="39" t="str">
        <f>IF(AND(O9&gt;=3,K9="Y"),"✓ 3-2-1",IF(O9=2,"partial (2 copies)","✗ single copy"))</f>
        <v>✗ single copy</v>
      </c>
      <c r="Q9" s="182" t="str">
        <f>IF(O9&gt;=3,"SAFE",IF(O9=2,"WARN","CRITICAL"))</f>
        <v>CRITICAL</v>
      </c>
      <c r="R9" s="39"/>
      <c r="S9" s="39" t="str">
        <f>IF(AND(H9="Y",K9="Y"),"Confirmed",IF(OR(H9="?",K9="?",H9="",K9=""),"PENDING VERIFY","Partial"))</f>
        <v>PENDING VERIFY</v>
      </c>
      <c r="T9" s="39" t="s">
        <v>1654</v>
      </c>
    </row>
    <row r="10" spans="1:23" x14ac:dyDescent="0.2">
      <c r="A10" s="39" t="s">
        <v>1667</v>
      </c>
      <c r="B10" s="39"/>
      <c r="C10" s="39"/>
      <c r="D10" s="39"/>
      <c r="E10" s="39"/>
      <c r="F10" s="39"/>
      <c r="G10" s="39"/>
      <c r="H10" s="39"/>
      <c r="I10" s="39"/>
      <c r="J10" s="39"/>
      <c r="K10" s="39"/>
      <c r="L10" s="39"/>
      <c r="M10" s="39"/>
      <c r="N10" s="39"/>
      <c r="O10" s="39" t="str">
        <f>IF($B10="","",1+IF(H10="Y",1,0)+IF(K10="Y",1,0))</f>
        <v/>
      </c>
      <c r="P10" s="39" t="str">
        <f>IF($B10="","",IF(AND(O10&gt;=3,K10="Y"),"✓ 3-2-1",IF(O10=2,"partial (2 copies)","✗ single copy")))</f>
        <v/>
      </c>
      <c r="Q10" s="39" t="str">
        <f>IF($B10="","",IF(O10&gt;=3,"SAFE",IF(O10=2,"WARN","CRITICAL")))</f>
        <v/>
      </c>
      <c r="R10" s="39"/>
      <c r="S10" s="39" t="str">
        <f>IF($B10="","",IF(AND(H10="Y",K10="Y"),"Confirmed","PENDING VERIFY"))</f>
        <v/>
      </c>
      <c r="T10" s="39"/>
    </row>
    <row r="11" spans="1:23" x14ac:dyDescent="0.2">
      <c r="A11" s="39" t="s">
        <v>1668</v>
      </c>
      <c r="B11" s="39"/>
      <c r="C11" s="39"/>
      <c r="D11" s="39"/>
      <c r="E11" s="39"/>
      <c r="F11" s="39"/>
      <c r="G11" s="39"/>
      <c r="H11" s="39"/>
      <c r="I11" s="39"/>
      <c r="J11" s="39"/>
      <c r="K11" s="39"/>
      <c r="L11" s="39"/>
      <c r="M11" s="39"/>
      <c r="N11" s="39"/>
      <c r="O11" s="39" t="str">
        <f t="shared" ref="O11:O19" si="0">IF($B11="","",1+IF(H11="Y",1,0)+IF(K11="Y",1,0))</f>
        <v/>
      </c>
      <c r="P11" s="39" t="str">
        <f t="shared" ref="P11:P19" si="1">IF($B11="","",IF(AND(O11&gt;=3,K11="Y"),"✓ 3-2-1",IF(O11=2,"partial (2 copies)","✗ single copy")))</f>
        <v/>
      </c>
      <c r="Q11" s="39" t="str">
        <f t="shared" ref="Q11:Q19" si="2">IF($B11="","",IF(O11&gt;=3,"SAFE",IF(O11=2,"WARN","CRITICAL")))</f>
        <v/>
      </c>
      <c r="R11" s="39"/>
      <c r="S11" s="39" t="str">
        <f t="shared" ref="S11:S19" si="3">IF($B11="","",IF(AND(H11="Y",K11="Y"),"Confirmed","PENDING VERIFY"))</f>
        <v/>
      </c>
      <c r="T11" s="39"/>
    </row>
    <row r="12" spans="1:23" x14ac:dyDescent="0.2">
      <c r="A12" s="39" t="s">
        <v>1669</v>
      </c>
      <c r="B12" s="39"/>
      <c r="C12" s="39"/>
      <c r="D12" s="39"/>
      <c r="E12" s="39"/>
      <c r="F12" s="39"/>
      <c r="G12" s="39"/>
      <c r="H12" s="39"/>
      <c r="I12" s="39"/>
      <c r="J12" s="39"/>
      <c r="K12" s="39"/>
      <c r="L12" s="39"/>
      <c r="M12" s="39"/>
      <c r="N12" s="39"/>
      <c r="O12" s="39" t="str">
        <f t="shared" si="0"/>
        <v/>
      </c>
      <c r="P12" s="39" t="str">
        <f t="shared" si="1"/>
        <v/>
      </c>
      <c r="Q12" s="39" t="str">
        <f t="shared" si="2"/>
        <v/>
      </c>
      <c r="R12" s="39"/>
      <c r="S12" s="39" t="str">
        <f t="shared" si="3"/>
        <v/>
      </c>
      <c r="T12" s="39"/>
    </row>
    <row r="13" spans="1:23" x14ac:dyDescent="0.2">
      <c r="A13" s="39" t="s">
        <v>1670</v>
      </c>
      <c r="B13" s="39"/>
      <c r="C13" s="39"/>
      <c r="D13" s="39"/>
      <c r="E13" s="39"/>
      <c r="F13" s="39"/>
      <c r="G13" s="39"/>
      <c r="H13" s="39"/>
      <c r="I13" s="39"/>
      <c r="J13" s="39"/>
      <c r="K13" s="39"/>
      <c r="L13" s="39"/>
      <c r="M13" s="39"/>
      <c r="N13" s="39"/>
      <c r="O13" s="39" t="str">
        <f t="shared" si="0"/>
        <v/>
      </c>
      <c r="P13" s="39" t="str">
        <f t="shared" si="1"/>
        <v/>
      </c>
      <c r="Q13" s="39" t="str">
        <f t="shared" si="2"/>
        <v/>
      </c>
      <c r="R13" s="39"/>
      <c r="S13" s="39" t="str">
        <f t="shared" si="3"/>
        <v/>
      </c>
      <c r="T13" s="39"/>
    </row>
    <row r="14" spans="1:23" x14ac:dyDescent="0.2">
      <c r="A14" s="39" t="s">
        <v>1671</v>
      </c>
      <c r="B14" s="39"/>
      <c r="C14" s="39"/>
      <c r="D14" s="39"/>
      <c r="E14" s="39"/>
      <c r="F14" s="39"/>
      <c r="G14" s="39"/>
      <c r="H14" s="39"/>
      <c r="I14" s="39"/>
      <c r="J14" s="39"/>
      <c r="K14" s="39"/>
      <c r="L14" s="39"/>
      <c r="M14" s="39"/>
      <c r="N14" s="39"/>
      <c r="O14" s="39" t="str">
        <f t="shared" si="0"/>
        <v/>
      </c>
      <c r="P14" s="39" t="str">
        <f t="shared" si="1"/>
        <v/>
      </c>
      <c r="Q14" s="39" t="str">
        <f t="shared" si="2"/>
        <v/>
      </c>
      <c r="R14" s="39"/>
      <c r="S14" s="39" t="str">
        <f t="shared" si="3"/>
        <v/>
      </c>
      <c r="T14" s="39"/>
    </row>
    <row r="15" spans="1:23" x14ac:dyDescent="0.2">
      <c r="A15" s="39" t="s">
        <v>1672</v>
      </c>
      <c r="B15" s="39"/>
      <c r="C15" s="39"/>
      <c r="D15" s="39"/>
      <c r="E15" s="39"/>
      <c r="F15" s="39"/>
      <c r="G15" s="39"/>
      <c r="H15" s="39"/>
      <c r="I15" s="39"/>
      <c r="J15" s="39"/>
      <c r="K15" s="39"/>
      <c r="L15" s="39"/>
      <c r="M15" s="39"/>
      <c r="N15" s="39"/>
      <c r="O15" s="39" t="str">
        <f t="shared" si="0"/>
        <v/>
      </c>
      <c r="P15" s="39" t="str">
        <f t="shared" si="1"/>
        <v/>
      </c>
      <c r="Q15" s="39" t="str">
        <f t="shared" si="2"/>
        <v/>
      </c>
      <c r="R15" s="39"/>
      <c r="S15" s="39" t="str">
        <f t="shared" si="3"/>
        <v/>
      </c>
      <c r="T15" s="39"/>
    </row>
    <row r="16" spans="1:23" x14ac:dyDescent="0.2">
      <c r="A16" s="39" t="s">
        <v>1673</v>
      </c>
      <c r="B16" s="39"/>
      <c r="C16" s="39"/>
      <c r="D16" s="39"/>
      <c r="E16" s="39"/>
      <c r="F16" s="39"/>
      <c r="G16" s="39"/>
      <c r="H16" s="39"/>
      <c r="I16" s="39"/>
      <c r="J16" s="39"/>
      <c r="K16" s="39"/>
      <c r="L16" s="39"/>
      <c r="M16" s="39"/>
      <c r="N16" s="39"/>
      <c r="O16" s="39" t="str">
        <f t="shared" si="0"/>
        <v/>
      </c>
      <c r="P16" s="39" t="str">
        <f t="shared" si="1"/>
        <v/>
      </c>
      <c r="Q16" s="39" t="str">
        <f t="shared" si="2"/>
        <v/>
      </c>
      <c r="R16" s="39"/>
      <c r="S16" s="39" t="str">
        <f t="shared" si="3"/>
        <v/>
      </c>
      <c r="T16" s="39"/>
    </row>
    <row r="17" spans="1:20" x14ac:dyDescent="0.2">
      <c r="A17" s="39" t="s">
        <v>1674</v>
      </c>
      <c r="B17" s="39"/>
      <c r="C17" s="39"/>
      <c r="D17" s="39"/>
      <c r="E17" s="39"/>
      <c r="F17" s="39"/>
      <c r="G17" s="39"/>
      <c r="H17" s="39"/>
      <c r="I17" s="39"/>
      <c r="J17" s="39"/>
      <c r="K17" s="39"/>
      <c r="L17" s="39"/>
      <c r="M17" s="39"/>
      <c r="N17" s="39"/>
      <c r="O17" s="39" t="str">
        <f t="shared" si="0"/>
        <v/>
      </c>
      <c r="P17" s="39" t="str">
        <f t="shared" si="1"/>
        <v/>
      </c>
      <c r="Q17" s="39" t="str">
        <f t="shared" si="2"/>
        <v/>
      </c>
      <c r="R17" s="39"/>
      <c r="S17" s="39" t="str">
        <f t="shared" si="3"/>
        <v/>
      </c>
      <c r="T17" s="39"/>
    </row>
    <row r="18" spans="1:20" x14ac:dyDescent="0.2">
      <c r="A18" s="39" t="s">
        <v>1675</v>
      </c>
      <c r="B18" s="39"/>
      <c r="C18" s="39"/>
      <c r="D18" s="39"/>
      <c r="E18" s="39"/>
      <c r="F18" s="39"/>
      <c r="G18" s="39"/>
      <c r="H18" s="39"/>
      <c r="I18" s="39"/>
      <c r="J18" s="39"/>
      <c r="K18" s="39"/>
      <c r="L18" s="39"/>
      <c r="M18" s="39"/>
      <c r="N18" s="39"/>
      <c r="O18" s="39" t="str">
        <f t="shared" si="0"/>
        <v/>
      </c>
      <c r="P18" s="39" t="str">
        <f t="shared" si="1"/>
        <v/>
      </c>
      <c r="Q18" s="39" t="str">
        <f t="shared" si="2"/>
        <v/>
      </c>
      <c r="R18" s="39"/>
      <c r="S18" s="39" t="str">
        <f t="shared" si="3"/>
        <v/>
      </c>
      <c r="T18" s="39"/>
    </row>
    <row r="19" spans="1:20" x14ac:dyDescent="0.2">
      <c r="A19" s="39" t="s">
        <v>1676</v>
      </c>
      <c r="B19" s="39"/>
      <c r="C19" s="39"/>
      <c r="D19" s="39"/>
      <c r="E19" s="39"/>
      <c r="F19" s="39"/>
      <c r="G19" s="39"/>
      <c r="H19" s="39"/>
      <c r="I19" s="39"/>
      <c r="J19" s="39"/>
      <c r="K19" s="39"/>
      <c r="L19" s="39"/>
      <c r="M19" s="39"/>
      <c r="N19" s="39"/>
      <c r="O19" s="39" t="str">
        <f t="shared" si="0"/>
        <v/>
      </c>
      <c r="P19" s="39" t="str">
        <f t="shared" si="1"/>
        <v/>
      </c>
      <c r="Q19" s="39" t="str">
        <f t="shared" si="2"/>
        <v/>
      </c>
      <c r="R19" s="39"/>
      <c r="S19" s="39" t="str">
        <f t="shared" si="3"/>
        <v/>
      </c>
      <c r="T19" s="39"/>
    </row>
    <row r="22" spans="1:20" x14ac:dyDescent="0.2">
      <c r="A22" s="70" t="s">
        <v>1677</v>
      </c>
    </row>
    <row r="23" spans="1:20" x14ac:dyDescent="0.2">
      <c r="A23" s="13" t="s">
        <v>1678</v>
      </c>
      <c r="B23" s="13" t="s">
        <v>1679</v>
      </c>
      <c r="C23" s="13" t="s">
        <v>1680</v>
      </c>
      <c r="D23" s="13" t="s">
        <v>1681</v>
      </c>
      <c r="E23" s="13" t="s">
        <v>1682</v>
      </c>
    </row>
    <row r="24" spans="1:20" x14ac:dyDescent="0.2">
      <c r="A24" s="20">
        <v>46203</v>
      </c>
      <c r="B24" t="s">
        <v>1683</v>
      </c>
      <c r="C24" t="s">
        <v>1684</v>
      </c>
      <c r="D24" t="s">
        <v>1685</v>
      </c>
      <c r="E24" s="155" t="s">
        <v>1686</v>
      </c>
    </row>
    <row r="25" spans="1:20" x14ac:dyDescent="0.2">
      <c r="A25" s="20">
        <v>46203</v>
      </c>
      <c r="B25" t="s">
        <v>1687</v>
      </c>
      <c r="C25" t="s">
        <v>1688</v>
      </c>
      <c r="D25" t="s">
        <v>1689</v>
      </c>
      <c r="E25" s="155" t="s">
        <v>1690</v>
      </c>
    </row>
    <row r="26" spans="1:20" x14ac:dyDescent="0.2">
      <c r="A26" s="20">
        <v>46203</v>
      </c>
      <c r="B26" t="s">
        <v>1691</v>
      </c>
      <c r="C26" t="s">
        <v>1692</v>
      </c>
      <c r="D26" t="s">
        <v>1693</v>
      </c>
      <c r="E26" s="155" t="s">
        <v>1694</v>
      </c>
    </row>
    <row r="27" spans="1:20" x14ac:dyDescent="0.2">
      <c r="A27" s="20">
        <v>46203</v>
      </c>
      <c r="B27" t="s">
        <v>1695</v>
      </c>
      <c r="C27" t="s">
        <v>1696</v>
      </c>
      <c r="D27" t="s">
        <v>1693</v>
      </c>
      <c r="E27" s="155" t="s">
        <v>1697</v>
      </c>
    </row>
    <row r="28" spans="1:20" x14ac:dyDescent="0.2">
      <c r="A28" s="20">
        <v>46203</v>
      </c>
      <c r="B28" t="s">
        <v>1715</v>
      </c>
      <c r="C28" t="s">
        <v>1716</v>
      </c>
      <c r="D28" t="s">
        <v>1717</v>
      </c>
      <c r="E28" s="155" t="s">
        <v>1718</v>
      </c>
    </row>
    <row r="29" spans="1:20" x14ac:dyDescent="0.2">
      <c r="A29" t="s">
        <v>1719</v>
      </c>
      <c r="B29" t="s">
        <v>1720</v>
      </c>
      <c r="C29" t="s">
        <v>1721</v>
      </c>
      <c r="D29" t="s">
        <v>1722</v>
      </c>
      <c r="E29" s="186" t="s">
        <v>1723</v>
      </c>
    </row>
    <row r="30" spans="1:20" x14ac:dyDescent="0.2">
      <c r="A30" s="20">
        <v>46203</v>
      </c>
      <c r="B30" t="s">
        <v>1724</v>
      </c>
      <c r="C30" t="s">
        <v>1725</v>
      </c>
      <c r="D30" t="s">
        <v>1726</v>
      </c>
      <c r="E30" s="155" t="s">
        <v>1727</v>
      </c>
    </row>
    <row r="31" spans="1:20" x14ac:dyDescent="0.2">
      <c r="A31" s="20">
        <v>46203</v>
      </c>
      <c r="B31" t="s">
        <v>1728</v>
      </c>
      <c r="C31" t="s">
        <v>1729</v>
      </c>
      <c r="D31" t="s">
        <v>1730</v>
      </c>
      <c r="E31" s="186" t="s">
        <v>1731</v>
      </c>
    </row>
  </sheetData>
  <mergeCells count="2">
    <mergeCell ref="A4:T4"/>
    <mergeCell ref="A2:T2"/>
  </mergeCells>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63E86-1BFB-0644-9A86-424705B7C019}">
  <dimension ref="A1:A35"/>
  <sheetViews>
    <sheetView workbookViewId="0">
      <pane ySplit="2" topLeftCell="A3" activePane="bottomLeft" state="frozen"/>
      <selection pane="bottomLeft"/>
    </sheetView>
  </sheetViews>
  <sheetFormatPr baseColWidth="10" defaultRowHeight="16" x14ac:dyDescent="0.2"/>
  <cols>
    <col min="1" max="1" width="120" customWidth="1"/>
  </cols>
  <sheetData>
    <row r="1" spans="1:1" ht="19" x14ac:dyDescent="0.25">
      <c r="A1" s="1" t="s">
        <v>1732</v>
      </c>
    </row>
    <row r="2" spans="1:1" x14ac:dyDescent="0.2">
      <c r="A2" s="69" t="s">
        <v>1733</v>
      </c>
    </row>
    <row r="4" spans="1:1" x14ac:dyDescent="0.2">
      <c r="A4" s="2" t="s">
        <v>1734</v>
      </c>
    </row>
    <row r="5" spans="1:1" x14ac:dyDescent="0.2">
      <c r="A5" s="69" t="s">
        <v>1735</v>
      </c>
    </row>
    <row r="6" spans="1:1" x14ac:dyDescent="0.2">
      <c r="A6" s="188" t="s">
        <v>1736</v>
      </c>
    </row>
    <row r="7" spans="1:1" x14ac:dyDescent="0.2">
      <c r="A7" s="69" t="s">
        <v>1737</v>
      </c>
    </row>
    <row r="8" spans="1:1" x14ac:dyDescent="0.2">
      <c r="A8" s="188" t="s">
        <v>1738</v>
      </c>
    </row>
    <row r="9" spans="1:1" x14ac:dyDescent="0.2">
      <c r="A9" s="188" t="s">
        <v>1739</v>
      </c>
    </row>
    <row r="11" spans="1:1" x14ac:dyDescent="0.2">
      <c r="A11" s="189" t="s">
        <v>1740</v>
      </c>
    </row>
    <row r="12" spans="1:1" x14ac:dyDescent="0.2">
      <c r="A12" s="69" t="s">
        <v>1741</v>
      </c>
    </row>
    <row r="13" spans="1:1" x14ac:dyDescent="0.2">
      <c r="A13" s="188" t="s">
        <v>1742</v>
      </c>
    </row>
    <row r="15" spans="1:1" x14ac:dyDescent="0.2">
      <c r="A15" s="70" t="s">
        <v>1743</v>
      </c>
    </row>
    <row r="16" spans="1:1" x14ac:dyDescent="0.2">
      <c r="A16" s="69" t="s">
        <v>1744</v>
      </c>
    </row>
    <row r="17" spans="1:1" x14ac:dyDescent="0.2">
      <c r="A17" s="190" t="s">
        <v>1745</v>
      </c>
    </row>
    <row r="19" spans="1:1" x14ac:dyDescent="0.2">
      <c r="A19" s="70" t="s">
        <v>1746</v>
      </c>
    </row>
    <row r="20" spans="1:1" x14ac:dyDescent="0.2">
      <c r="A20" s="69" t="s">
        <v>1747</v>
      </c>
    </row>
    <row r="21" spans="1:1" x14ac:dyDescent="0.2">
      <c r="A21" s="190" t="s">
        <v>1748</v>
      </c>
    </row>
    <row r="22" spans="1:1" x14ac:dyDescent="0.2">
      <c r="A22" s="190" t="s">
        <v>1749</v>
      </c>
    </row>
    <row r="24" spans="1:1" x14ac:dyDescent="0.2">
      <c r="A24" s="2" t="s">
        <v>1750</v>
      </c>
    </row>
    <row r="25" spans="1:1" x14ac:dyDescent="0.2">
      <c r="A25" s="187" t="s">
        <v>1751</v>
      </c>
    </row>
    <row r="26" spans="1:1" x14ac:dyDescent="0.2">
      <c r="A26" s="69" t="s">
        <v>1752</v>
      </c>
    </row>
    <row r="28" spans="1:1" x14ac:dyDescent="0.2">
      <c r="A28" s="2" t="s">
        <v>1753</v>
      </c>
    </row>
    <row r="29" spans="1:1" x14ac:dyDescent="0.2">
      <c r="A29" s="191" t="s">
        <v>1754</v>
      </c>
    </row>
    <row r="30" spans="1:1" x14ac:dyDescent="0.2">
      <c r="A30" s="191" t="s">
        <v>1755</v>
      </c>
    </row>
    <row r="31" spans="1:1" x14ac:dyDescent="0.2">
      <c r="A31" s="191" t="s">
        <v>1756</v>
      </c>
    </row>
    <row r="33" spans="1:1" x14ac:dyDescent="0.2">
      <c r="A33" s="192" t="s">
        <v>1757</v>
      </c>
    </row>
    <row r="34" spans="1:1" x14ac:dyDescent="0.2">
      <c r="A34" s="69" t="s">
        <v>1758</v>
      </c>
    </row>
    <row r="35" spans="1:1" x14ac:dyDescent="0.2">
      <c r="A35" s="188" t="s">
        <v>1759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15819-8314-DC40-8E29-2DCB62EE4F82}">
  <dimension ref="A1:R12"/>
  <sheetViews>
    <sheetView workbookViewId="0">
      <pane ySplit="3" topLeftCell="A4" activePane="bottomLeft" state="frozen"/>
      <selection pane="bottomLeft"/>
    </sheetView>
  </sheetViews>
  <sheetFormatPr baseColWidth="10" defaultRowHeight="16" x14ac:dyDescent="0.2"/>
  <cols>
    <col min="2" max="2" width="25" customWidth="1"/>
    <col min="4" max="4" width="21.6640625" customWidth="1"/>
    <col min="5" max="5" width="20" customWidth="1"/>
    <col min="8" max="8" width="17.5" customWidth="1"/>
    <col min="15" max="15" width="30" customWidth="1"/>
    <col min="17" max="17" width="20" customWidth="1"/>
  </cols>
  <sheetData>
    <row r="1" spans="1:18" ht="19" x14ac:dyDescent="0.25">
      <c r="A1" s="1" t="s">
        <v>1760</v>
      </c>
      <c r="Q1" s="173" t="s">
        <v>1829</v>
      </c>
      <c r="R1" s="157"/>
    </row>
    <row r="2" spans="1:18" x14ac:dyDescent="0.2">
      <c r="A2" s="69" t="s">
        <v>1761</v>
      </c>
      <c r="Q2" s="158" t="s">
        <v>1830</v>
      </c>
      <c r="R2" s="158">
        <f>COUNTA($B$4:$B$200)</f>
        <v>9</v>
      </c>
    </row>
    <row r="3" spans="1:18" x14ac:dyDescent="0.2">
      <c r="A3" s="46" t="s">
        <v>1762</v>
      </c>
      <c r="B3" s="46" t="s">
        <v>1763</v>
      </c>
      <c r="C3" s="46" t="s">
        <v>1764</v>
      </c>
      <c r="D3" s="46" t="s">
        <v>1765</v>
      </c>
      <c r="E3" s="46" t="s">
        <v>1766</v>
      </c>
      <c r="F3" s="46" t="s">
        <v>1635</v>
      </c>
      <c r="G3" s="46" t="s">
        <v>1636</v>
      </c>
      <c r="H3" s="46" t="s">
        <v>1767</v>
      </c>
      <c r="I3" s="46" t="s">
        <v>1768</v>
      </c>
      <c r="J3" s="46" t="s">
        <v>1547</v>
      </c>
      <c r="K3" s="46" t="s">
        <v>1769</v>
      </c>
      <c r="L3" s="46" t="s">
        <v>1770</v>
      </c>
      <c r="M3" s="46" t="s">
        <v>1771</v>
      </c>
      <c r="N3" s="46" t="s">
        <v>1647</v>
      </c>
      <c r="O3" s="46" t="s">
        <v>24</v>
      </c>
      <c r="Q3" s="205" t="s">
        <v>1831</v>
      </c>
      <c r="R3" s="158">
        <f>COUNTIF($K$4:$K$200,"Audited*")</f>
        <v>3</v>
      </c>
    </row>
    <row r="4" spans="1:18" x14ac:dyDescent="0.2">
      <c r="A4" s="47" t="s">
        <v>1772</v>
      </c>
      <c r="B4" s="47" t="s">
        <v>1773</v>
      </c>
      <c r="C4" s="47" t="s">
        <v>1774</v>
      </c>
      <c r="D4" s="47" t="s">
        <v>1775</v>
      </c>
      <c r="E4" s="47" t="s">
        <v>951</v>
      </c>
      <c r="F4" s="47"/>
      <c r="G4" s="47"/>
      <c r="H4" s="199" t="s">
        <v>1776</v>
      </c>
      <c r="I4" s="47" t="s">
        <v>1617</v>
      </c>
      <c r="J4" s="47" t="s">
        <v>835</v>
      </c>
      <c r="K4" s="47" t="s">
        <v>1777</v>
      </c>
      <c r="L4" s="47"/>
      <c r="M4" s="47" t="s">
        <v>1778</v>
      </c>
      <c r="N4" s="200" t="s">
        <v>1779</v>
      </c>
      <c r="O4" s="47" t="s">
        <v>1780</v>
      </c>
      <c r="Q4" s="158" t="s">
        <v>1832</v>
      </c>
      <c r="R4" s="158">
        <f>COUNTIF($I$4:$I$200,"Pending")</f>
        <v>6</v>
      </c>
    </row>
    <row r="5" spans="1:18" x14ac:dyDescent="0.2">
      <c r="A5" s="47" t="s">
        <v>1781</v>
      </c>
      <c r="B5" s="47" t="s">
        <v>1650</v>
      </c>
      <c r="C5" s="47" t="s">
        <v>1774</v>
      </c>
      <c r="D5" s="47" t="s">
        <v>1775</v>
      </c>
      <c r="E5" s="47" t="s">
        <v>1782</v>
      </c>
      <c r="F5" s="47">
        <v>12000</v>
      </c>
      <c r="G5" s="47"/>
      <c r="H5" s="199" t="s">
        <v>1776</v>
      </c>
      <c r="I5" s="47" t="s">
        <v>1617</v>
      </c>
      <c r="J5" s="47" t="s">
        <v>835</v>
      </c>
      <c r="K5" s="47" t="s">
        <v>1777</v>
      </c>
      <c r="L5" s="47"/>
      <c r="M5" s="47" t="s">
        <v>1649</v>
      </c>
      <c r="N5" s="200" t="s">
        <v>1779</v>
      </c>
      <c r="O5" s="47" t="s">
        <v>1783</v>
      </c>
      <c r="Q5" s="158" t="s">
        <v>1833</v>
      </c>
      <c r="R5" s="158">
        <f>COUNTIF($H$4:$H$200,"No*")</f>
        <v>6</v>
      </c>
    </row>
    <row r="6" spans="1:18" x14ac:dyDescent="0.2">
      <c r="A6" s="47" t="s">
        <v>1784</v>
      </c>
      <c r="B6" s="47" t="s">
        <v>1656</v>
      </c>
      <c r="C6" s="47" t="s">
        <v>1774</v>
      </c>
      <c r="D6" s="47" t="s">
        <v>1775</v>
      </c>
      <c r="E6" s="47" t="s">
        <v>1785</v>
      </c>
      <c r="F6" s="47">
        <v>4000</v>
      </c>
      <c r="G6" s="47"/>
      <c r="H6" s="199" t="s">
        <v>1776</v>
      </c>
      <c r="I6" s="47" t="s">
        <v>1617</v>
      </c>
      <c r="J6" s="47" t="s">
        <v>835</v>
      </c>
      <c r="K6" s="47" t="s">
        <v>1777</v>
      </c>
      <c r="L6" s="47"/>
      <c r="M6" s="47" t="s">
        <v>1655</v>
      </c>
      <c r="N6" s="200" t="s">
        <v>1779</v>
      </c>
      <c r="O6" s="47" t="s">
        <v>1786</v>
      </c>
      <c r="Q6" s="158" t="s">
        <v>1834</v>
      </c>
      <c r="R6" s="158">
        <f>COUNTIF($N$4:$N$200,"CRITICAL")</f>
        <v>3</v>
      </c>
    </row>
    <row r="7" spans="1:18" x14ac:dyDescent="0.2">
      <c r="A7" s="47" t="s">
        <v>1787</v>
      </c>
      <c r="B7" s="47" t="s">
        <v>1788</v>
      </c>
      <c r="C7" s="47" t="s">
        <v>1789</v>
      </c>
      <c r="D7" s="47" t="s">
        <v>1790</v>
      </c>
      <c r="E7" s="47" t="s">
        <v>1791</v>
      </c>
      <c r="F7" s="47"/>
      <c r="G7" s="47">
        <v>0</v>
      </c>
      <c r="H7" s="201" t="s">
        <v>1792</v>
      </c>
      <c r="I7" s="47" t="s">
        <v>1793</v>
      </c>
      <c r="J7" s="47" t="s">
        <v>1794</v>
      </c>
      <c r="K7" s="201" t="s">
        <v>1795</v>
      </c>
      <c r="L7" s="47"/>
      <c r="M7" s="47" t="s">
        <v>835</v>
      </c>
      <c r="N7" s="200" t="s">
        <v>1796</v>
      </c>
      <c r="O7" s="47" t="s">
        <v>1797</v>
      </c>
      <c r="Q7" s="158" t="s">
        <v>1835</v>
      </c>
      <c r="R7" s="158">
        <f>SUM($F$4:$F$200)</f>
        <v>124000</v>
      </c>
    </row>
    <row r="8" spans="1:18" x14ac:dyDescent="0.2">
      <c r="A8" s="47" t="s">
        <v>1798</v>
      </c>
      <c r="B8" s="47" t="s">
        <v>1799</v>
      </c>
      <c r="C8" s="47" t="s">
        <v>1789</v>
      </c>
      <c r="D8" s="47" t="s">
        <v>1800</v>
      </c>
      <c r="E8" s="47" t="s">
        <v>1791</v>
      </c>
      <c r="F8" s="47"/>
      <c r="G8" s="47">
        <v>250</v>
      </c>
      <c r="H8" s="200" t="s">
        <v>1801</v>
      </c>
      <c r="I8" s="47" t="s">
        <v>1617</v>
      </c>
      <c r="J8" s="47" t="s">
        <v>313</v>
      </c>
      <c r="K8" s="47" t="s">
        <v>1777</v>
      </c>
      <c r="L8" s="47"/>
      <c r="M8" s="47" t="s">
        <v>835</v>
      </c>
      <c r="N8" s="202" t="s">
        <v>1802</v>
      </c>
      <c r="O8" s="204" t="s">
        <v>1803</v>
      </c>
      <c r="Q8" s="158" t="s">
        <v>1836</v>
      </c>
      <c r="R8" s="158">
        <f>SUM($G$4:$G$200)</f>
        <v>250</v>
      </c>
    </row>
    <row r="9" spans="1:18" x14ac:dyDescent="0.2">
      <c r="A9" s="47" t="s">
        <v>1804</v>
      </c>
      <c r="B9" s="47" t="s">
        <v>1805</v>
      </c>
      <c r="C9" s="47" t="s">
        <v>1806</v>
      </c>
      <c r="D9" s="47" t="s">
        <v>1790</v>
      </c>
      <c r="E9" s="47" t="s">
        <v>1807</v>
      </c>
      <c r="F9" s="47"/>
      <c r="G9" s="47"/>
      <c r="H9" s="201" t="s">
        <v>1808</v>
      </c>
      <c r="I9" s="47" t="s">
        <v>1793</v>
      </c>
      <c r="J9" s="47" t="s">
        <v>1809</v>
      </c>
      <c r="K9" s="201" t="s">
        <v>1795</v>
      </c>
      <c r="L9" s="47"/>
      <c r="M9" s="47" t="s">
        <v>835</v>
      </c>
      <c r="N9" s="200" t="s">
        <v>1796</v>
      </c>
      <c r="O9" s="47" t="s">
        <v>1810</v>
      </c>
    </row>
    <row r="10" spans="1:18" x14ac:dyDescent="0.2">
      <c r="A10" s="47" t="s">
        <v>1811</v>
      </c>
      <c r="B10" s="47" t="s">
        <v>1812</v>
      </c>
      <c r="C10" s="47" t="s">
        <v>1806</v>
      </c>
      <c r="D10" s="47" t="s">
        <v>1813</v>
      </c>
      <c r="E10" s="47" t="s">
        <v>1814</v>
      </c>
      <c r="F10" s="47"/>
      <c r="G10" s="47"/>
      <c r="H10" s="201" t="s">
        <v>1815</v>
      </c>
      <c r="I10" s="47" t="s">
        <v>1793</v>
      </c>
      <c r="J10" s="47" t="s">
        <v>1794</v>
      </c>
      <c r="K10" s="201" t="s">
        <v>1795</v>
      </c>
      <c r="L10" s="47"/>
      <c r="M10" s="47" t="s">
        <v>835</v>
      </c>
      <c r="N10" s="200" t="s">
        <v>1796</v>
      </c>
      <c r="O10" s="47" t="s">
        <v>1816</v>
      </c>
    </row>
    <row r="11" spans="1:18" x14ac:dyDescent="0.2">
      <c r="A11" s="47" t="s">
        <v>1817</v>
      </c>
      <c r="B11" s="47" t="s">
        <v>1818</v>
      </c>
      <c r="C11" s="47" t="s">
        <v>1819</v>
      </c>
      <c r="D11" s="47" t="s">
        <v>1820</v>
      </c>
      <c r="E11" s="47" t="s">
        <v>1821</v>
      </c>
      <c r="F11" s="47">
        <v>8000</v>
      </c>
      <c r="G11" s="47">
        <v>0</v>
      </c>
      <c r="H11" s="199" t="s">
        <v>1776</v>
      </c>
      <c r="I11" s="47" t="s">
        <v>1617</v>
      </c>
      <c r="J11" s="47">
        <v>0</v>
      </c>
      <c r="K11" s="201" t="s">
        <v>1777</v>
      </c>
      <c r="L11" s="47"/>
      <c r="M11" s="47" t="s">
        <v>821</v>
      </c>
      <c r="N11" s="202" t="s">
        <v>1822</v>
      </c>
      <c r="O11" s="47" t="s">
        <v>1823</v>
      </c>
    </row>
    <row r="12" spans="1:18" x14ac:dyDescent="0.2">
      <c r="A12" s="47" t="s">
        <v>1824</v>
      </c>
      <c r="B12" s="47" t="s">
        <v>1825</v>
      </c>
      <c r="C12" s="47" t="s">
        <v>1819</v>
      </c>
      <c r="D12" s="47" t="s">
        <v>1826</v>
      </c>
      <c r="E12" s="47" t="s">
        <v>1827</v>
      </c>
      <c r="F12" s="47">
        <v>100000</v>
      </c>
      <c r="G12" s="47">
        <v>0</v>
      </c>
      <c r="H12" s="199" t="s">
        <v>1776</v>
      </c>
      <c r="I12" s="47" t="s">
        <v>1617</v>
      </c>
      <c r="J12" s="47">
        <v>0</v>
      </c>
      <c r="K12" s="201" t="s">
        <v>1777</v>
      </c>
      <c r="L12" s="47"/>
      <c r="M12" s="47" t="s">
        <v>842</v>
      </c>
      <c r="N12" s="202" t="s">
        <v>1822</v>
      </c>
      <c r="O12" s="47" t="s">
        <v>1828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43779-607C-4944-9272-CDA36A511B56}">
  <dimension ref="A1:L38"/>
  <sheetViews>
    <sheetView workbookViewId="0">
      <pane ySplit="2" topLeftCell="A3" activePane="bottomLeft" state="frozen"/>
      <selection pane="bottomLeft"/>
    </sheetView>
  </sheetViews>
  <sheetFormatPr baseColWidth="10" defaultRowHeight="16" x14ac:dyDescent="0.2"/>
  <cols>
    <col min="1" max="1" width="25" customWidth="1"/>
    <col min="2" max="2" width="38.33203125" customWidth="1"/>
    <col min="3" max="3" width="33.33203125" customWidth="1"/>
    <col min="4" max="4" width="20" customWidth="1"/>
    <col min="5" max="5" width="30" customWidth="1"/>
    <col min="7" max="7" width="38.33203125" customWidth="1"/>
  </cols>
  <sheetData>
    <row r="1" spans="1:12" ht="19" x14ac:dyDescent="0.25">
      <c r="A1" s="1" t="s">
        <v>1837</v>
      </c>
      <c r="J1" s="69" t="str">
        <f ca="1">"Refreshed: "&amp;TEXT(NOW(),"yyyy-mm-dd hh:mm")</f>
        <v>Refreshed: 2026-07-01 14:46</v>
      </c>
    </row>
    <row r="2" spans="1:12" x14ac:dyDescent="0.2">
      <c r="A2" s="69" t="s">
        <v>1838</v>
      </c>
    </row>
    <row r="3" spans="1:12" x14ac:dyDescent="0.2">
      <c r="A3" s="19" t="str">
        <f>"🔴 ACTION NEEDED   —   "&amp;'Global Data Map'!R4&amp;" locations pending  |  "&amp;'Clone Status'!W4&amp;" drives CRITICAL  |  NEXT: connect rsplowman@gmail.com + run Method-A scan"</f>
        <v>🔴 ACTION NEEDED   —   6 locations pending  |  2 drives CRITICAL  |  NEXT: connect rsplowman@gmail.com + run Method-A scan</v>
      </c>
    </row>
    <row r="4" spans="1:12" x14ac:dyDescent="0.2">
      <c r="A4" s="2" t="s">
        <v>1839</v>
      </c>
    </row>
    <row r="5" spans="1:12" x14ac:dyDescent="0.2">
      <c r="A5" s="206" t="s">
        <v>1840</v>
      </c>
      <c r="D5" s="206" t="s">
        <v>1843</v>
      </c>
      <c r="G5" s="206" t="s">
        <v>1845</v>
      </c>
      <c r="J5" s="70" t="s">
        <v>1933</v>
      </c>
    </row>
    <row r="6" spans="1:12" x14ac:dyDescent="0.2">
      <c r="A6" t="s">
        <v>1841</v>
      </c>
      <c r="B6">
        <f>'Scan Queue'!V2</f>
        <v>4</v>
      </c>
      <c r="D6" t="s">
        <v>738</v>
      </c>
      <c r="E6">
        <f>'Scan Queue'!V3</f>
        <v>2</v>
      </c>
      <c r="G6" t="s">
        <v>1846</v>
      </c>
      <c r="H6">
        <f>Integrity!AA2</f>
        <v>5</v>
      </c>
      <c r="J6" t="s">
        <v>1934</v>
      </c>
      <c r="K6" s="21">
        <f>IFERROR('Global Data Map'!R3/'Global Data Map'!R2,0)</f>
        <v>0.33333333333333331</v>
      </c>
      <c r="L6" s="212" t="str">
        <f>REPT("█",ROUND(K6*10,0))</f>
        <v>███</v>
      </c>
    </row>
    <row r="7" spans="1:12" x14ac:dyDescent="0.2">
      <c r="A7" t="s">
        <v>1232</v>
      </c>
      <c r="B7">
        <f>'Scan Queue'!V7</f>
        <v>3</v>
      </c>
      <c r="D7" t="s">
        <v>747</v>
      </c>
      <c r="E7">
        <f>'Scan Queue'!V4</f>
        <v>0</v>
      </c>
      <c r="G7" t="s">
        <v>876</v>
      </c>
      <c r="H7">
        <f>Integrity!AA6</f>
        <v>3</v>
      </c>
      <c r="J7" t="s">
        <v>1935</v>
      </c>
      <c r="K7" s="21">
        <f>IFERROR(K12/SUM($K$12:$K$14),0)</f>
        <v>0.35714285714285715</v>
      </c>
      <c r="L7" s="212" t="str">
        <f>REPT("█",ROUND(K7*10,0))</f>
        <v>████</v>
      </c>
    </row>
    <row r="8" spans="1:12" x14ac:dyDescent="0.2">
      <c r="A8" t="s">
        <v>1842</v>
      </c>
      <c r="B8">
        <f>'Scan Queue'!V8</f>
        <v>1</v>
      </c>
      <c r="D8" t="s">
        <v>755</v>
      </c>
      <c r="E8">
        <f>'Scan Queue'!V5</f>
        <v>1</v>
      </c>
      <c r="G8" t="s">
        <v>893</v>
      </c>
      <c r="H8">
        <f>Integrity!AA4</f>
        <v>1</v>
      </c>
      <c r="J8" t="s">
        <v>1936</v>
      </c>
      <c r="K8" s="21">
        <f>IFERROR('Clone Status'!W3/'Clone Status'!W2,0)</f>
        <v>0</v>
      </c>
      <c r="L8" s="24" t="str">
        <f>REPT("█",ROUND(K8*10,0))</f>
        <v/>
      </c>
    </row>
    <row r="9" spans="1:12" x14ac:dyDescent="0.2">
      <c r="A9" t="s">
        <v>1005</v>
      </c>
      <c r="B9">
        <f>'Scan Queue'!V9</f>
        <v>2</v>
      </c>
      <c r="D9" t="s">
        <v>1844</v>
      </c>
      <c r="E9">
        <f>'Library Index'!AA2</f>
        <v>20</v>
      </c>
      <c r="G9" t="s">
        <v>1847</v>
      </c>
      <c r="H9">
        <f>Integrity!AA9</f>
        <v>2</v>
      </c>
      <c r="J9" t="s">
        <v>1937</v>
      </c>
      <c r="K9" s="21">
        <f>IFERROR(Integrity!AA6/'Scan Queue'!V2,0)</f>
        <v>0.75</v>
      </c>
      <c r="L9" s="212" t="str">
        <f>REPT("█",ROUND(K9*10,0))</f>
        <v>████████</v>
      </c>
    </row>
    <row r="11" spans="1:12" x14ac:dyDescent="0.2">
      <c r="A11" s="206" t="s">
        <v>1848</v>
      </c>
      <c r="D11" s="206" t="s">
        <v>1852</v>
      </c>
      <c r="G11" s="206" t="s">
        <v>1854</v>
      </c>
      <c r="J11" s="70" t="s">
        <v>1938</v>
      </c>
    </row>
    <row r="12" spans="1:12" x14ac:dyDescent="0.2">
      <c r="A12" t="s">
        <v>1849</v>
      </c>
      <c r="B12">
        <f>'Clone Status'!W2</f>
        <v>2</v>
      </c>
      <c r="D12" t="s">
        <v>1853</v>
      </c>
      <c r="E12">
        <f>'Global Data Map'!R2</f>
        <v>9</v>
      </c>
      <c r="G12" t="s">
        <v>1544</v>
      </c>
      <c r="H12">
        <f>Scoreboard!B6</f>
        <v>95</v>
      </c>
      <c r="J12" t="s">
        <v>1939</v>
      </c>
      <c r="K12" s="207">
        <f>COUNTIF($D$18:$D$31,"Active")+COUNTIF($D$18:$D$31,"Connected")</f>
        <v>5</v>
      </c>
    </row>
    <row r="13" spans="1:12" x14ac:dyDescent="0.2">
      <c r="A13" t="s">
        <v>1850</v>
      </c>
      <c r="B13">
        <f>'Clone Status'!W3</f>
        <v>0</v>
      </c>
      <c r="D13" t="s">
        <v>1831</v>
      </c>
      <c r="E13">
        <f>'Global Data Map'!R3</f>
        <v>3</v>
      </c>
      <c r="G13" t="s">
        <v>1545</v>
      </c>
      <c r="H13" t="str">
        <f>Scoreboard!B7</f>
        <v>2 — RISING</v>
      </c>
      <c r="J13" t="s">
        <v>1940</v>
      </c>
      <c r="K13" s="155">
        <f>COUNTIF($D$18:$D$31,"Not connected")+COUNTIF($D$18:$D$31,"Not wired")</f>
        <v>5</v>
      </c>
    </row>
    <row r="14" spans="1:12" x14ac:dyDescent="0.2">
      <c r="A14" t="s">
        <v>1851</v>
      </c>
      <c r="B14">
        <f>'Clone Status'!W4</f>
        <v>2</v>
      </c>
      <c r="D14" t="s">
        <v>1617</v>
      </c>
      <c r="E14">
        <f>'Global Data Map'!R4</f>
        <v>6</v>
      </c>
      <c r="G14" t="s">
        <v>1855</v>
      </c>
      <c r="H14">
        <f>'Global Data Map'!R7</f>
        <v>124000</v>
      </c>
      <c r="J14" t="s">
        <v>1941</v>
      </c>
      <c r="K14" s="193">
        <f>COUNTIF($D$18:$D$31,"Idle")+COUNTIF($D$18:$D$31,"Manual")+COUNTIF($D$18:$D$31,"Available")+COUNTIF($D$18:$D$31,"Connected (wrong acct)")</f>
        <v>4</v>
      </c>
    </row>
    <row r="16" spans="1:12" x14ac:dyDescent="0.2">
      <c r="A16" s="70" t="s">
        <v>1856</v>
      </c>
    </row>
    <row r="17" spans="1:7" x14ac:dyDescent="0.2">
      <c r="A17" s="171" t="s">
        <v>1857</v>
      </c>
      <c r="B17" s="46" t="s">
        <v>729</v>
      </c>
      <c r="C17" s="46" t="s">
        <v>1858</v>
      </c>
      <c r="D17" s="46" t="s">
        <v>21</v>
      </c>
      <c r="E17" s="46" t="s">
        <v>1859</v>
      </c>
      <c r="F17" s="46" t="s">
        <v>1860</v>
      </c>
      <c r="G17" s="172" t="s">
        <v>1861</v>
      </c>
    </row>
    <row r="18" spans="1:7" x14ac:dyDescent="0.2">
      <c r="A18" s="166" t="s">
        <v>1862</v>
      </c>
      <c r="B18" s="47" t="s">
        <v>1863</v>
      </c>
      <c r="C18" s="47" t="s">
        <v>1864</v>
      </c>
      <c r="D18" s="210" t="s">
        <v>1865</v>
      </c>
      <c r="E18" s="47" t="s">
        <v>1866</v>
      </c>
      <c r="F18" s="47" t="s">
        <v>835</v>
      </c>
      <c r="G18" s="167" t="s">
        <v>1867</v>
      </c>
    </row>
    <row r="19" spans="1:7" x14ac:dyDescent="0.2">
      <c r="A19" s="166" t="s">
        <v>877</v>
      </c>
      <c r="B19" s="47" t="s">
        <v>1868</v>
      </c>
      <c r="C19" s="47" t="s">
        <v>1869</v>
      </c>
      <c r="D19" s="199" t="s">
        <v>1870</v>
      </c>
      <c r="E19" s="47" t="s">
        <v>1871</v>
      </c>
      <c r="F19" s="47" t="s">
        <v>835</v>
      </c>
      <c r="G19" s="167" t="s">
        <v>1748</v>
      </c>
    </row>
    <row r="20" spans="1:7" x14ac:dyDescent="0.2">
      <c r="A20" s="166" t="s">
        <v>1377</v>
      </c>
      <c r="B20" s="47" t="s">
        <v>1872</v>
      </c>
      <c r="C20" s="47" t="s">
        <v>1873</v>
      </c>
      <c r="D20" s="210" t="s">
        <v>1874</v>
      </c>
      <c r="E20" s="47" t="s">
        <v>1875</v>
      </c>
      <c r="F20" s="47" t="s">
        <v>835</v>
      </c>
      <c r="G20" s="167" t="s">
        <v>1876</v>
      </c>
    </row>
    <row r="21" spans="1:7" x14ac:dyDescent="0.2">
      <c r="A21" s="166" t="s">
        <v>1877</v>
      </c>
      <c r="B21" s="47" t="s">
        <v>1878</v>
      </c>
      <c r="C21" s="47" t="s">
        <v>1879</v>
      </c>
      <c r="D21" s="199" t="s">
        <v>1870</v>
      </c>
      <c r="E21" s="47" t="s">
        <v>1880</v>
      </c>
      <c r="F21" s="47" t="s">
        <v>835</v>
      </c>
      <c r="G21" s="167" t="s">
        <v>1881</v>
      </c>
    </row>
    <row r="22" spans="1:7" x14ac:dyDescent="0.2">
      <c r="A22" s="166" t="s">
        <v>1882</v>
      </c>
      <c r="B22" s="47" t="s">
        <v>1883</v>
      </c>
      <c r="C22" s="47" t="s">
        <v>1884</v>
      </c>
      <c r="D22" s="210" t="s">
        <v>1885</v>
      </c>
      <c r="E22" s="47" t="s">
        <v>1886</v>
      </c>
      <c r="F22" s="65">
        <v>46203</v>
      </c>
      <c r="G22" s="167" t="s">
        <v>1887</v>
      </c>
    </row>
    <row r="23" spans="1:7" x14ac:dyDescent="0.2">
      <c r="A23" s="166" t="s">
        <v>1888</v>
      </c>
      <c r="B23" s="47" t="s">
        <v>1883</v>
      </c>
      <c r="C23" s="47" t="s">
        <v>1889</v>
      </c>
      <c r="D23" s="201" t="s">
        <v>1890</v>
      </c>
      <c r="E23" s="47" t="s">
        <v>1891</v>
      </c>
      <c r="F23" s="65">
        <v>46203</v>
      </c>
      <c r="G23" s="167" t="s">
        <v>835</v>
      </c>
    </row>
    <row r="24" spans="1:7" x14ac:dyDescent="0.2">
      <c r="A24" s="166" t="s">
        <v>1812</v>
      </c>
      <c r="B24" s="47" t="s">
        <v>1883</v>
      </c>
      <c r="C24" s="47" t="s">
        <v>1892</v>
      </c>
      <c r="D24" s="201" t="s">
        <v>1890</v>
      </c>
      <c r="E24" s="47" t="s">
        <v>1893</v>
      </c>
      <c r="F24" s="65">
        <v>46203</v>
      </c>
      <c r="G24" s="167" t="s">
        <v>835</v>
      </c>
    </row>
    <row r="25" spans="1:7" x14ac:dyDescent="0.2">
      <c r="A25" s="166" t="s">
        <v>1483</v>
      </c>
      <c r="B25" s="47" t="s">
        <v>1484</v>
      </c>
      <c r="C25" s="47" t="s">
        <v>1894</v>
      </c>
      <c r="D25" s="201" t="s">
        <v>1895</v>
      </c>
      <c r="E25" s="47" t="s">
        <v>1896</v>
      </c>
      <c r="F25" s="47" t="s">
        <v>835</v>
      </c>
      <c r="G25" s="167" t="s">
        <v>1897</v>
      </c>
    </row>
    <row r="26" spans="1:7" x14ac:dyDescent="0.2">
      <c r="A26" s="166" t="s">
        <v>1492</v>
      </c>
      <c r="B26" s="47" t="s">
        <v>1484</v>
      </c>
      <c r="C26" s="47" t="s">
        <v>1898</v>
      </c>
      <c r="D26" s="201" t="s">
        <v>1895</v>
      </c>
      <c r="E26" s="47" t="s">
        <v>1896</v>
      </c>
      <c r="F26" s="47" t="s">
        <v>835</v>
      </c>
      <c r="G26" s="167" t="s">
        <v>1897</v>
      </c>
    </row>
    <row r="27" spans="1:7" x14ac:dyDescent="0.2">
      <c r="A27" s="166" t="s">
        <v>1899</v>
      </c>
      <c r="B27" s="47" t="s">
        <v>1900</v>
      </c>
      <c r="C27" s="47" t="s">
        <v>1901</v>
      </c>
      <c r="D27" s="211" t="s">
        <v>1902</v>
      </c>
      <c r="E27" s="47" t="s">
        <v>1903</v>
      </c>
      <c r="F27" s="47" t="s">
        <v>1904</v>
      </c>
      <c r="G27" s="167" t="s">
        <v>835</v>
      </c>
    </row>
    <row r="28" spans="1:7" x14ac:dyDescent="0.2">
      <c r="A28" s="166" t="s">
        <v>1905</v>
      </c>
      <c r="B28" s="47" t="s">
        <v>1900</v>
      </c>
      <c r="C28" s="47" t="s">
        <v>1906</v>
      </c>
      <c r="D28" s="199" t="s">
        <v>1907</v>
      </c>
      <c r="E28" s="47" t="s">
        <v>1908</v>
      </c>
      <c r="F28" s="47" t="s">
        <v>835</v>
      </c>
      <c r="G28" s="167" t="s">
        <v>1909</v>
      </c>
    </row>
    <row r="29" spans="1:7" x14ac:dyDescent="0.2">
      <c r="A29" s="166" t="s">
        <v>1910</v>
      </c>
      <c r="B29" s="47" t="s">
        <v>1900</v>
      </c>
      <c r="C29" s="47" t="s">
        <v>1911</v>
      </c>
      <c r="D29" s="199" t="s">
        <v>1907</v>
      </c>
      <c r="E29" s="47" t="s">
        <v>1912</v>
      </c>
      <c r="F29" s="47" t="s">
        <v>835</v>
      </c>
      <c r="G29" s="167" t="s">
        <v>1913</v>
      </c>
    </row>
    <row r="30" spans="1:7" x14ac:dyDescent="0.2">
      <c r="A30" s="166" t="s">
        <v>1914</v>
      </c>
      <c r="B30" s="47" t="s">
        <v>1900</v>
      </c>
      <c r="C30" s="47" t="s">
        <v>1915</v>
      </c>
      <c r="D30" s="210" t="s">
        <v>1916</v>
      </c>
      <c r="E30" s="47" t="s">
        <v>1903</v>
      </c>
      <c r="F30" s="47" t="s">
        <v>835</v>
      </c>
      <c r="G30" s="167" t="s">
        <v>1917</v>
      </c>
    </row>
    <row r="31" spans="1:7" x14ac:dyDescent="0.2">
      <c r="A31" s="166" t="s">
        <v>1918</v>
      </c>
      <c r="B31" s="47" t="s">
        <v>1900</v>
      </c>
      <c r="C31" s="47" t="s">
        <v>1919</v>
      </c>
      <c r="D31" s="199" t="s">
        <v>1907</v>
      </c>
      <c r="E31" s="47" t="s">
        <v>1920</v>
      </c>
      <c r="F31" s="47" t="s">
        <v>835</v>
      </c>
      <c r="G31" s="167" t="s">
        <v>1921</v>
      </c>
    </row>
    <row r="33" spans="1:2" x14ac:dyDescent="0.2">
      <c r="A33" s="192" t="s">
        <v>1922</v>
      </c>
    </row>
    <row r="34" spans="1:2" x14ac:dyDescent="0.2">
      <c r="A34" s="13" t="s">
        <v>1923</v>
      </c>
      <c r="B34" t="s">
        <v>1924</v>
      </c>
    </row>
    <row r="35" spans="1:2" x14ac:dyDescent="0.2">
      <c r="A35" s="13" t="s">
        <v>1925</v>
      </c>
      <c r="B35" t="s">
        <v>1926</v>
      </c>
    </row>
    <row r="36" spans="1:2" x14ac:dyDescent="0.2">
      <c r="A36" s="13" t="s">
        <v>1927</v>
      </c>
      <c r="B36" t="s">
        <v>1928</v>
      </c>
    </row>
    <row r="37" spans="1:2" x14ac:dyDescent="0.2">
      <c r="A37" s="13" t="s">
        <v>1929</v>
      </c>
      <c r="B37" t="s">
        <v>1930</v>
      </c>
    </row>
    <row r="38" spans="1:2" x14ac:dyDescent="0.2">
      <c r="A38" s="155" t="s">
        <v>1931</v>
      </c>
      <c r="B38" s="24" t="s">
        <v>1932</v>
      </c>
    </row>
  </sheetData>
  <conditionalFormatting sqref="D18:D31">
    <cfRule type="containsText" dxfId="15" priority="1" stopIfTrue="1" operator="containsText" text="wrong">
      <formula>NOT(ISERROR(SEARCH("wrong",D18)))</formula>
    </cfRule>
    <cfRule type="containsText" dxfId="14" priority="2" stopIfTrue="1" operator="containsText" text="Not ">
      <formula>NOT(ISERROR(SEARCH("Not ",D18)))</formula>
    </cfRule>
    <cfRule type="containsText" dxfId="13" priority="3" stopIfTrue="1" operator="containsText" text="Idle">
      <formula>NOT(ISERROR(SEARCH("Idle",D18)))</formula>
    </cfRule>
    <cfRule type="containsText" dxfId="12" priority="4" stopIfTrue="1" operator="containsText" text="Manual">
      <formula>NOT(ISERROR(SEARCH("Manual",D18)))</formula>
    </cfRule>
    <cfRule type="containsText" dxfId="11" priority="5" stopIfTrue="1" operator="containsText" text="Available">
      <formula>NOT(ISERROR(SEARCH("Available",D18)))</formula>
    </cfRule>
    <cfRule type="containsText" dxfId="10" priority="6" stopIfTrue="1" operator="containsText" text="Active">
      <formula>NOT(ISERROR(SEARCH("Active",D18)))</formula>
    </cfRule>
    <cfRule type="containsText" dxfId="9" priority="7" stopIfTrue="1" operator="containsText" text="Connected">
      <formula>NOT(ISERROR(SEARCH("Connected",D18)))</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D4DC-BB90-F241-8A72-100907905143}">
  <dimension ref="A1:E40"/>
  <sheetViews>
    <sheetView workbookViewId="0">
      <pane ySplit="3" topLeftCell="A4" activePane="bottomLeft" state="frozen"/>
      <selection pane="bottomLeft"/>
    </sheetView>
  </sheetViews>
  <sheetFormatPr baseColWidth="10" defaultRowHeight="16" x14ac:dyDescent="0.2"/>
  <cols>
    <col min="1" max="1" width="25" customWidth="1"/>
    <col min="2" max="2" width="26.6640625" customWidth="1"/>
    <col min="3" max="3" width="70" customWidth="1"/>
    <col min="4" max="4" width="33.33203125" customWidth="1"/>
    <col min="5" max="5" width="28.33203125" customWidth="1"/>
  </cols>
  <sheetData>
    <row r="1" spans="1:5" ht="19" x14ac:dyDescent="0.25">
      <c r="A1" s="1" t="s">
        <v>1942</v>
      </c>
    </row>
    <row r="2" spans="1:5" x14ac:dyDescent="0.2">
      <c r="A2" s="69" t="s">
        <v>1943</v>
      </c>
    </row>
    <row r="4" spans="1:5" x14ac:dyDescent="0.2">
      <c r="A4" s="2" t="s">
        <v>1944</v>
      </c>
    </row>
    <row r="5" spans="1:5" x14ac:dyDescent="0.2">
      <c r="A5" s="171" t="s">
        <v>464</v>
      </c>
      <c r="B5" s="46" t="s">
        <v>1764</v>
      </c>
      <c r="C5" s="46" t="s">
        <v>1945</v>
      </c>
      <c r="D5" s="46" t="s">
        <v>1946</v>
      </c>
      <c r="E5" s="172" t="s">
        <v>1947</v>
      </c>
    </row>
    <row r="6" spans="1:5" x14ac:dyDescent="0.2">
      <c r="A6" s="166" t="s">
        <v>951</v>
      </c>
      <c r="B6" s="47" t="s">
        <v>1948</v>
      </c>
      <c r="C6" s="47" t="s">
        <v>1949</v>
      </c>
      <c r="D6" s="47" t="s">
        <v>1950</v>
      </c>
      <c r="E6" s="214" t="s">
        <v>1951</v>
      </c>
    </row>
    <row r="7" spans="1:5" x14ac:dyDescent="0.2">
      <c r="A7" s="166" t="s">
        <v>1650</v>
      </c>
      <c r="B7" s="47" t="s">
        <v>1948</v>
      </c>
      <c r="C7" s="47" t="s">
        <v>1949</v>
      </c>
      <c r="D7" s="47" t="s">
        <v>1952</v>
      </c>
      <c r="E7" s="214" t="s">
        <v>1951</v>
      </c>
    </row>
    <row r="8" spans="1:5" x14ac:dyDescent="0.2">
      <c r="A8" s="166" t="s">
        <v>1656</v>
      </c>
      <c r="B8" s="47" t="s">
        <v>1948</v>
      </c>
      <c r="C8" s="47" t="s">
        <v>1949</v>
      </c>
      <c r="D8" s="47" t="s">
        <v>1953</v>
      </c>
      <c r="E8" s="215" t="s">
        <v>1954</v>
      </c>
    </row>
    <row r="9" spans="1:5" x14ac:dyDescent="0.2">
      <c r="A9" s="166" t="s">
        <v>1800</v>
      </c>
      <c r="B9" s="47" t="s">
        <v>1955</v>
      </c>
      <c r="C9" s="199" t="s">
        <v>1801</v>
      </c>
      <c r="D9" s="47" t="s">
        <v>1956</v>
      </c>
      <c r="E9" s="216" t="s">
        <v>1957</v>
      </c>
    </row>
    <row r="10" spans="1:5" x14ac:dyDescent="0.2">
      <c r="A10" s="166" t="s">
        <v>1790</v>
      </c>
      <c r="B10" s="47" t="s">
        <v>1955</v>
      </c>
      <c r="C10" s="47" t="s">
        <v>1958</v>
      </c>
      <c r="D10" s="47" t="s">
        <v>1959</v>
      </c>
      <c r="E10" s="217" t="s">
        <v>1960</v>
      </c>
    </row>
    <row r="11" spans="1:5" x14ac:dyDescent="0.2">
      <c r="A11" s="166" t="s">
        <v>1812</v>
      </c>
      <c r="B11" s="47" t="s">
        <v>1955</v>
      </c>
      <c r="C11" s="47" t="s">
        <v>1958</v>
      </c>
      <c r="D11" s="47" t="s">
        <v>1794</v>
      </c>
      <c r="E11" s="217" t="s">
        <v>1960</v>
      </c>
    </row>
    <row r="12" spans="1:5" x14ac:dyDescent="0.2">
      <c r="A12" s="166" t="s">
        <v>1805</v>
      </c>
      <c r="B12" s="47" t="s">
        <v>1955</v>
      </c>
      <c r="C12" s="47" t="s">
        <v>1958</v>
      </c>
      <c r="D12" s="47" t="s">
        <v>1809</v>
      </c>
      <c r="E12" s="217" t="s">
        <v>1960</v>
      </c>
    </row>
    <row r="14" spans="1:5" x14ac:dyDescent="0.2">
      <c r="A14" s="192" t="s">
        <v>1961</v>
      </c>
    </row>
    <row r="15" spans="1:5" x14ac:dyDescent="0.2">
      <c r="A15" s="163" t="s">
        <v>1962</v>
      </c>
      <c r="B15" s="164" t="s">
        <v>1963</v>
      </c>
      <c r="C15" s="165" t="s">
        <v>1964</v>
      </c>
    </row>
    <row r="16" spans="1:5" x14ac:dyDescent="0.2">
      <c r="A16" s="166" t="s">
        <v>1965</v>
      </c>
      <c r="B16" s="47" t="s">
        <v>1966</v>
      </c>
      <c r="C16" s="167" t="s">
        <v>1967</v>
      </c>
    </row>
    <row r="17" spans="1:3" x14ac:dyDescent="0.2">
      <c r="A17" s="166" t="s">
        <v>1968</v>
      </c>
      <c r="B17" s="47" t="s">
        <v>1969</v>
      </c>
      <c r="C17" s="167" t="s">
        <v>1970</v>
      </c>
    </row>
    <row r="18" spans="1:3" x14ac:dyDescent="0.2">
      <c r="A18" s="166" t="s">
        <v>1971</v>
      </c>
      <c r="B18" s="47" t="s">
        <v>1972</v>
      </c>
      <c r="C18" s="167" t="s">
        <v>1973</v>
      </c>
    </row>
    <row r="19" spans="1:3" x14ac:dyDescent="0.2">
      <c r="A19" s="166" t="s">
        <v>1974</v>
      </c>
      <c r="B19" s="47" t="s">
        <v>1975</v>
      </c>
      <c r="C19" s="167" t="s">
        <v>1976</v>
      </c>
    </row>
    <row r="20" spans="1:3" x14ac:dyDescent="0.2">
      <c r="A20" s="166" t="s">
        <v>1977</v>
      </c>
      <c r="B20" s="47" t="s">
        <v>1978</v>
      </c>
      <c r="C20" s="167" t="s">
        <v>1979</v>
      </c>
    </row>
    <row r="21" spans="1:3" x14ac:dyDescent="0.2">
      <c r="A21" s="166" t="s">
        <v>1980</v>
      </c>
      <c r="B21" s="47" t="s">
        <v>1981</v>
      </c>
      <c r="C21" s="167" t="s">
        <v>1982</v>
      </c>
    </row>
    <row r="23" spans="1:3" x14ac:dyDescent="0.2">
      <c r="A23" s="70" t="s">
        <v>1983</v>
      </c>
    </row>
    <row r="24" spans="1:3" x14ac:dyDescent="0.2">
      <c r="A24" s="218" t="s">
        <v>1984</v>
      </c>
      <c r="B24" s="157" t="s">
        <v>1985</v>
      </c>
    </row>
    <row r="25" spans="1:3" x14ac:dyDescent="0.2">
      <c r="A25" s="219" t="s">
        <v>1986</v>
      </c>
      <c r="B25" s="158" t="s">
        <v>1987</v>
      </c>
    </row>
    <row r="26" spans="1:3" x14ac:dyDescent="0.2">
      <c r="A26" s="219" t="s">
        <v>1988</v>
      </c>
      <c r="B26" s="158" t="s">
        <v>1989</v>
      </c>
    </row>
    <row r="27" spans="1:3" x14ac:dyDescent="0.2">
      <c r="A27" s="219" t="s">
        <v>1990</v>
      </c>
      <c r="B27" s="158" t="s">
        <v>1991</v>
      </c>
    </row>
    <row r="28" spans="1:3" x14ac:dyDescent="0.2">
      <c r="A28" s="219" t="s">
        <v>1992</v>
      </c>
      <c r="B28" s="158" t="s">
        <v>1993</v>
      </c>
    </row>
    <row r="29" spans="1:3" x14ac:dyDescent="0.2">
      <c r="A29" s="220" t="s">
        <v>1994</v>
      </c>
      <c r="B29" s="160" t="s">
        <v>1995</v>
      </c>
    </row>
    <row r="31" spans="1:3" x14ac:dyDescent="0.2">
      <c r="A31" s="2" t="s">
        <v>1996</v>
      </c>
    </row>
    <row r="32" spans="1:3" x14ac:dyDescent="0.2">
      <c r="A32" s="2" t="s">
        <v>1997</v>
      </c>
      <c r="B32" s="2" t="s">
        <v>21</v>
      </c>
      <c r="C32" s="2" t="s">
        <v>1998</v>
      </c>
    </row>
    <row r="33" spans="1:3" x14ac:dyDescent="0.2">
      <c r="A33" t="s">
        <v>1362</v>
      </c>
      <c r="B33" s="221" t="s">
        <v>1999</v>
      </c>
      <c r="C33" t="s">
        <v>2000</v>
      </c>
    </row>
    <row r="34" spans="1:3" x14ac:dyDescent="0.2">
      <c r="A34" t="s">
        <v>2001</v>
      </c>
      <c r="B34" s="221" t="s">
        <v>1999</v>
      </c>
      <c r="C34" t="s">
        <v>2002</v>
      </c>
    </row>
    <row r="35" spans="1:3" x14ac:dyDescent="0.2">
      <c r="A35" t="s">
        <v>2003</v>
      </c>
      <c r="B35" s="221" t="s">
        <v>1999</v>
      </c>
      <c r="C35" t="s">
        <v>2004</v>
      </c>
    </row>
    <row r="36" spans="1:3" x14ac:dyDescent="0.2">
      <c r="A36" t="s">
        <v>2005</v>
      </c>
      <c r="B36" s="221" t="s">
        <v>1999</v>
      </c>
      <c r="C36" t="s">
        <v>2006</v>
      </c>
    </row>
    <row r="37" spans="1:3" x14ac:dyDescent="0.2">
      <c r="A37" t="s">
        <v>2007</v>
      </c>
      <c r="B37" s="221" t="s">
        <v>1999</v>
      </c>
      <c r="C37" t="s">
        <v>2008</v>
      </c>
    </row>
    <row r="38" spans="1:3" x14ac:dyDescent="0.2">
      <c r="A38" t="s">
        <v>2009</v>
      </c>
      <c r="B38" s="221" t="s">
        <v>1999</v>
      </c>
      <c r="C38" t="s">
        <v>2010</v>
      </c>
    </row>
    <row r="40" spans="1:3" x14ac:dyDescent="0.2">
      <c r="A40" t="s">
        <v>2011</v>
      </c>
      <c r="B40" s="186" t="str">
        <f>TEXT(COUNTIF(B33:B38,"Done")/6,"0%")</f>
        <v>0%</v>
      </c>
      <c r="C40" s="212" t="str">
        <f>REPT("█",COUNTIF(B33:B38,"Done"))&amp;REPT("░",6-COUNTIF(B33:B38,"Done"))</f>
        <v>░░░░░░</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1F7B3-157B-DC46-AB1E-48EE33E999AD}">
  <dimension ref="A1:J12"/>
  <sheetViews>
    <sheetView workbookViewId="0">
      <pane ySplit="3" topLeftCell="A4" activePane="bottomLeft" state="frozen"/>
      <selection pane="bottomLeft"/>
    </sheetView>
  </sheetViews>
  <sheetFormatPr baseColWidth="10" defaultRowHeight="16" x14ac:dyDescent="0.2"/>
  <cols>
    <col min="1" max="1" width="20" customWidth="1"/>
    <col min="2" max="2" width="21.6640625" customWidth="1"/>
    <col min="8" max="8" width="23.33203125" customWidth="1"/>
    <col min="9" max="9" width="20" customWidth="1"/>
    <col min="10" max="10" width="40" customWidth="1"/>
  </cols>
  <sheetData>
    <row r="1" spans="1:10" ht="19" x14ac:dyDescent="0.25">
      <c r="A1" s="1" t="s">
        <v>2012</v>
      </c>
    </row>
    <row r="2" spans="1:10" x14ac:dyDescent="0.2">
      <c r="A2" s="69" t="s">
        <v>2013</v>
      </c>
    </row>
    <row r="3" spans="1:10" x14ac:dyDescent="0.2">
      <c r="A3" s="171" t="s">
        <v>2014</v>
      </c>
      <c r="B3" s="46" t="s">
        <v>464</v>
      </c>
      <c r="C3" s="46" t="s">
        <v>187</v>
      </c>
      <c r="D3" s="46" t="s">
        <v>486</v>
      </c>
      <c r="E3" s="46" t="s">
        <v>1465</v>
      </c>
      <c r="F3" s="46" t="s">
        <v>2015</v>
      </c>
      <c r="G3" s="46" t="s">
        <v>2016</v>
      </c>
      <c r="H3" s="46" t="s">
        <v>1962</v>
      </c>
      <c r="I3" s="46" t="s">
        <v>2017</v>
      </c>
      <c r="J3" s="172" t="s">
        <v>2018</v>
      </c>
    </row>
    <row r="4" spans="1:10" x14ac:dyDescent="0.2">
      <c r="A4" s="166" t="s">
        <v>2019</v>
      </c>
      <c r="B4" s="47" t="s">
        <v>951</v>
      </c>
      <c r="C4" s="47" t="s">
        <v>2020</v>
      </c>
      <c r="D4" s="47" t="s">
        <v>61</v>
      </c>
      <c r="E4" s="47" t="s">
        <v>1466</v>
      </c>
      <c r="F4" s="47">
        <f t="shared" ref="F4:F12" si="0">IF(E4="QA",4,IF(E4="QB",3,IF(E4="QC",2,IF(E4="QX",1,0))))</f>
        <v>4</v>
      </c>
      <c r="G4" s="47" t="s">
        <v>2021</v>
      </c>
      <c r="H4" s="47" t="s">
        <v>2022</v>
      </c>
      <c r="I4" s="47" t="str">
        <f>IF(H4="Orphan","— identify first",IF(AND($F4=_xlfn.MAXIFS($F$4:$F$12,$G$4:$G$12,$G4),COUNTIFS($G$4:$G4,$G4,$F$4:$F4,$F4)=1),"✓ CANONICAL","subordinate"))</f>
        <v>✓ CANONICAL</v>
      </c>
      <c r="J4" s="167" t="str">
        <f t="shared" ref="J4:J12" si="1">IF(H4="Orphan","Identify via magic bytes first",IF(I4="✓ CANONICAL","→ KEEP master in /Pristine/",IF(H4="Identical","↪ Log as clone; delete after 3-2-1",IF(H4="Lossy-vs-lossless","↪ Flag RE-SOURCE (lossy)","↪ Archive as _v2 (keep)"))))</f>
        <v>→ KEEP master in /Pristine/</v>
      </c>
    </row>
    <row r="5" spans="1:10" x14ac:dyDescent="0.2">
      <c r="A5" s="166" t="s">
        <v>2019</v>
      </c>
      <c r="B5" s="47" t="s">
        <v>1650</v>
      </c>
      <c r="C5" s="47" t="s">
        <v>2020</v>
      </c>
      <c r="D5" s="47" t="s">
        <v>61</v>
      </c>
      <c r="E5" s="47" t="s">
        <v>1466</v>
      </c>
      <c r="F5" s="47">
        <f t="shared" si="0"/>
        <v>4</v>
      </c>
      <c r="G5" s="47" t="s">
        <v>2021</v>
      </c>
      <c r="H5" s="47" t="s">
        <v>2022</v>
      </c>
      <c r="I5" s="47" t="str">
        <f>IF(H5="Orphan","— identify first",IF(AND($F5=_xlfn.MAXIFS($F$4:$F$12,$G$4:$G$12,$G5),COUNTIFS($G$4:$G5,$G5,$F$4:$F5,$F5)=1),"✓ CANONICAL","subordinate"))</f>
        <v>subordinate</v>
      </c>
      <c r="J5" s="167" t="str">
        <f t="shared" si="1"/>
        <v>↪ Log as clone; delete after 3-2-1</v>
      </c>
    </row>
    <row r="6" spans="1:10" x14ac:dyDescent="0.2">
      <c r="A6" s="166" t="s">
        <v>2023</v>
      </c>
      <c r="B6" s="47" t="s">
        <v>951</v>
      </c>
      <c r="C6" s="47" t="s">
        <v>2024</v>
      </c>
      <c r="D6" s="47" t="s">
        <v>61</v>
      </c>
      <c r="E6" s="47" t="s">
        <v>1581</v>
      </c>
      <c r="F6" s="47">
        <f t="shared" si="0"/>
        <v>3</v>
      </c>
      <c r="G6" s="47" t="s">
        <v>2025</v>
      </c>
      <c r="H6" s="47" t="s">
        <v>2026</v>
      </c>
      <c r="I6" s="47" t="str">
        <f>IF(H6="Orphan","— identify first",IF(AND($F6=_xlfn.MAXIFS($F$4:$F$12,$G$4:$G$12,$G6),COUNTIFS($G$4:$G6,$G6,$F$4:$F6,$F6)=1),"✓ CANONICAL","subordinate"))</f>
        <v>✓ CANONICAL</v>
      </c>
      <c r="J6" s="167" t="str">
        <f t="shared" si="1"/>
        <v>→ KEEP master in /Pristine/</v>
      </c>
    </row>
    <row r="7" spans="1:10" x14ac:dyDescent="0.2">
      <c r="A7" s="166" t="s">
        <v>2027</v>
      </c>
      <c r="B7" s="47" t="s">
        <v>2028</v>
      </c>
      <c r="C7" s="47" t="s">
        <v>2029</v>
      </c>
      <c r="D7" s="47" t="s">
        <v>2030</v>
      </c>
      <c r="E7" s="47" t="s">
        <v>2031</v>
      </c>
      <c r="F7" s="47">
        <f t="shared" si="0"/>
        <v>2</v>
      </c>
      <c r="G7" s="47" t="s">
        <v>2025</v>
      </c>
      <c r="H7" s="47" t="s">
        <v>2026</v>
      </c>
      <c r="I7" s="47" t="str">
        <f>IF(H7="Orphan","— identify first",IF(AND($F7=_xlfn.MAXIFS($F$4:$F$12,$G$4:$G$12,$G7),COUNTIFS($G$4:$G7,$G7,$F$4:$F7,$F7)=1),"✓ CANONICAL","subordinate"))</f>
        <v>subordinate</v>
      </c>
      <c r="J7" s="167" t="str">
        <f t="shared" si="1"/>
        <v>↪ Flag RE-SOURCE (lossy)</v>
      </c>
    </row>
    <row r="8" spans="1:10" x14ac:dyDescent="0.2">
      <c r="A8" s="166" t="s">
        <v>2032</v>
      </c>
      <c r="B8" s="47" t="s">
        <v>951</v>
      </c>
      <c r="C8" s="47" t="s">
        <v>2033</v>
      </c>
      <c r="D8" s="47" t="s">
        <v>61</v>
      </c>
      <c r="E8" s="47" t="s">
        <v>1466</v>
      </c>
      <c r="F8" s="47">
        <f t="shared" si="0"/>
        <v>4</v>
      </c>
      <c r="G8" s="47" t="s">
        <v>2034</v>
      </c>
      <c r="H8" s="47" t="s">
        <v>2035</v>
      </c>
      <c r="I8" s="47" t="str">
        <f>IF(H8="Orphan","— identify first",IF(AND($F8=_xlfn.MAXIFS($F$4:$F$12,$G$4:$G$12,$G8),COUNTIFS($G$4:$G8,$G8,$F$4:$F8,$F8)=1),"✓ CANONICAL","subordinate"))</f>
        <v>✓ CANONICAL</v>
      </c>
      <c r="J8" s="167" t="str">
        <f t="shared" si="1"/>
        <v>→ KEEP master in /Pristine/</v>
      </c>
    </row>
    <row r="9" spans="1:10" x14ac:dyDescent="0.2">
      <c r="A9" s="166" t="s">
        <v>2032</v>
      </c>
      <c r="B9" s="47" t="s">
        <v>2028</v>
      </c>
      <c r="C9" s="47" t="s">
        <v>2036</v>
      </c>
      <c r="D9" s="47" t="s">
        <v>61</v>
      </c>
      <c r="E9" s="47" t="s">
        <v>1581</v>
      </c>
      <c r="F9" s="47">
        <f t="shared" si="0"/>
        <v>3</v>
      </c>
      <c r="G9" s="47" t="s">
        <v>2034</v>
      </c>
      <c r="H9" s="47" t="s">
        <v>2035</v>
      </c>
      <c r="I9" s="47" t="str">
        <f>IF(H9="Orphan","— identify first",IF(AND($F9=_xlfn.MAXIFS($F$4:$F$12,$G$4:$G$12,$G9),COUNTIFS($G$4:$G9,$G9,$F$4:$F9,$F9)=1),"✓ CANONICAL","subordinate"))</f>
        <v>subordinate</v>
      </c>
      <c r="J9" s="167" t="str">
        <f t="shared" si="1"/>
        <v>↪ Archive as _v2 (keep)</v>
      </c>
    </row>
    <row r="10" spans="1:10" x14ac:dyDescent="0.2">
      <c r="A10" s="166" t="s">
        <v>2037</v>
      </c>
      <c r="B10" s="47" t="s">
        <v>2028</v>
      </c>
      <c r="C10" s="47" t="s">
        <v>2038</v>
      </c>
      <c r="D10" s="47" t="s">
        <v>61</v>
      </c>
      <c r="E10" s="47" t="s">
        <v>1466</v>
      </c>
      <c r="F10" s="47">
        <f t="shared" si="0"/>
        <v>4</v>
      </c>
      <c r="G10" s="47" t="s">
        <v>2039</v>
      </c>
      <c r="H10" s="47" t="s">
        <v>2040</v>
      </c>
      <c r="I10" s="47" t="str">
        <f>IF(H10="Orphan","— identify first",IF(AND($F10=_xlfn.MAXIFS($F$4:$F$12,$G$4:$G$12,$G10),COUNTIFS($G$4:$G10,$G10,$F$4:$F10,$F10)=1),"✓ CANONICAL","subordinate"))</f>
        <v>✓ CANONICAL</v>
      </c>
      <c r="J10" s="167" t="str">
        <f t="shared" si="1"/>
        <v>→ KEEP master in /Pristine/</v>
      </c>
    </row>
    <row r="11" spans="1:10" x14ac:dyDescent="0.2">
      <c r="A11" s="166" t="s">
        <v>2041</v>
      </c>
      <c r="B11" s="47" t="s">
        <v>1656</v>
      </c>
      <c r="C11" s="47" t="s">
        <v>2042</v>
      </c>
      <c r="D11" s="47" t="s">
        <v>2043</v>
      </c>
      <c r="E11" s="47" t="s">
        <v>313</v>
      </c>
      <c r="F11" s="47">
        <f t="shared" si="0"/>
        <v>0</v>
      </c>
      <c r="G11" s="47" t="s">
        <v>2044</v>
      </c>
      <c r="H11" s="47" t="s">
        <v>714</v>
      </c>
      <c r="I11" s="47" t="str">
        <f>IF(H11="Orphan","— identify first",IF(AND($F11=_xlfn.MAXIFS($F$4:$F$12,$G$4:$G$12,$G11),COUNTIFS($G$4:$G11,$G11,$F$4:$F11,$F11)=1),"✓ CANONICAL","subordinate"))</f>
        <v>— identify first</v>
      </c>
      <c r="J11" s="167" t="str">
        <f t="shared" si="1"/>
        <v>Identify via magic bytes first</v>
      </c>
    </row>
    <row r="12" spans="1:10" x14ac:dyDescent="0.2">
      <c r="A12" s="166" t="s">
        <v>2045</v>
      </c>
      <c r="B12" s="47" t="s">
        <v>951</v>
      </c>
      <c r="C12" s="47" t="s">
        <v>2046</v>
      </c>
      <c r="D12" s="47" t="s">
        <v>2047</v>
      </c>
      <c r="E12" s="47" t="s">
        <v>1466</v>
      </c>
      <c r="F12" s="47">
        <f t="shared" si="0"/>
        <v>4</v>
      </c>
      <c r="G12" s="47" t="s">
        <v>2048</v>
      </c>
      <c r="H12" s="47" t="s">
        <v>1006</v>
      </c>
      <c r="I12" s="47" t="str">
        <f>IF(H12="Orphan","— identify first",IF(AND($F12=_xlfn.MAXIFS($F$4:$F$12,$G$4:$G$12,$G12),COUNTIFS($G$4:$G12,$G12,$F$4:$F12,$F12)=1),"✓ CANONICAL","subordinate"))</f>
        <v>✓ CANONICAL</v>
      </c>
      <c r="J12" s="167" t="str">
        <f t="shared" si="1"/>
        <v>→ KEEP master in /Pristine/</v>
      </c>
    </row>
  </sheetData>
  <conditionalFormatting sqref="I4:I12">
    <cfRule type="containsText" dxfId="8" priority="1" stopIfTrue="1" operator="containsText" text="CANONICAL">
      <formula>NOT(ISERROR(SEARCH("CANONICAL",I4)))</formula>
    </cfRule>
    <cfRule type="containsText" dxfId="7" priority="2" stopIfTrue="1" operator="containsText" text="identify">
      <formula>NOT(ISERROR(SEARCH("identify",I4)))</formula>
    </cfRule>
    <cfRule type="containsText" dxfId="6" priority="3" stopIfTrue="1" operator="containsText" text="subordinate">
      <formula>NOT(ISERROR(SEARCH("subordinate",I4)))</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274F-A84F-7B42-A404-0139FE15A7DB}">
  <dimension ref="A1:I22"/>
  <sheetViews>
    <sheetView workbookViewId="0">
      <pane ySplit="4" topLeftCell="A5" activePane="bottomLeft" state="frozen"/>
      <selection pane="bottomLeft"/>
    </sheetView>
  </sheetViews>
  <sheetFormatPr baseColWidth="10" defaultRowHeight="16" x14ac:dyDescent="0.2"/>
  <cols>
    <col min="1" max="1" width="29.1640625" customWidth="1"/>
    <col min="6" max="6" width="29.1640625" customWidth="1"/>
    <col min="9" max="9" width="27.5" customWidth="1"/>
  </cols>
  <sheetData>
    <row r="1" spans="1:9" ht="19" x14ac:dyDescent="0.25">
      <c r="A1" s="1" t="s">
        <v>2049</v>
      </c>
    </row>
    <row r="2" spans="1:9" x14ac:dyDescent="0.2">
      <c r="A2" s="69" t="s">
        <v>2050</v>
      </c>
    </row>
    <row r="4" spans="1:9" x14ac:dyDescent="0.2">
      <c r="A4" s="2" t="s">
        <v>2051</v>
      </c>
    </row>
    <row r="5" spans="1:9" x14ac:dyDescent="0.2">
      <c r="A5" s="171" t="s">
        <v>2052</v>
      </c>
      <c r="B5" s="46" t="s">
        <v>1764</v>
      </c>
      <c r="C5" s="46" t="s">
        <v>1635</v>
      </c>
      <c r="D5" s="46" t="s">
        <v>1636</v>
      </c>
      <c r="E5" s="46" t="s">
        <v>2053</v>
      </c>
      <c r="F5" s="46" t="s">
        <v>816</v>
      </c>
      <c r="G5" s="46" t="s">
        <v>2054</v>
      </c>
      <c r="H5" s="46" t="s">
        <v>2055</v>
      </c>
      <c r="I5" s="172" t="s">
        <v>918</v>
      </c>
    </row>
    <row r="6" spans="1:9" x14ac:dyDescent="0.2">
      <c r="A6" s="166" t="s">
        <v>951</v>
      </c>
      <c r="B6" s="47" t="s">
        <v>1948</v>
      </c>
      <c r="C6" s="47">
        <v>16000</v>
      </c>
      <c r="D6" s="223">
        <v>9000</v>
      </c>
      <c r="E6" s="47">
        <f t="shared" ref="E6:E11" si="0">C6-D6</f>
        <v>7000</v>
      </c>
      <c r="F6" s="224">
        <f t="shared" ref="F6:F12" si="1">IFERROR(D6/C6,0)</f>
        <v>0.5625</v>
      </c>
      <c r="G6" s="224">
        <f t="shared" ref="G6:G11" si="2">IFERROR($D$12/$C$12,0)</f>
        <v>0.17077464788732394</v>
      </c>
      <c r="H6" s="47">
        <f t="shared" ref="H6:H11" si="3">ROUND(D6-C6*$G6,0)</f>
        <v>6268</v>
      </c>
      <c r="I6" s="167" t="str">
        <f t="shared" ref="I6:I11" si="4">IF(H6&gt;50,"OFFLOAD "&amp;H6&amp;" GB",IF(H6&lt;-50,"can receive "&amp;-H6&amp;" GB","balanced"))</f>
        <v>OFFLOAD 6268 GB</v>
      </c>
    </row>
    <row r="7" spans="1:9" x14ac:dyDescent="0.2">
      <c r="A7" s="166" t="s">
        <v>1650</v>
      </c>
      <c r="B7" s="47" t="s">
        <v>1948</v>
      </c>
      <c r="C7" s="47">
        <v>12000</v>
      </c>
      <c r="D7" s="223">
        <v>11000</v>
      </c>
      <c r="E7" s="47">
        <f t="shared" si="0"/>
        <v>1000</v>
      </c>
      <c r="F7" s="224">
        <f t="shared" si="1"/>
        <v>0.91666666666666663</v>
      </c>
      <c r="G7" s="224">
        <f t="shared" si="2"/>
        <v>0.17077464788732394</v>
      </c>
      <c r="H7" s="47">
        <f t="shared" si="3"/>
        <v>8951</v>
      </c>
      <c r="I7" s="167" t="str">
        <f t="shared" si="4"/>
        <v>OFFLOAD 8951 GB</v>
      </c>
    </row>
    <row r="8" spans="1:9" x14ac:dyDescent="0.2">
      <c r="A8" s="166" t="s">
        <v>1656</v>
      </c>
      <c r="B8" s="47" t="s">
        <v>1948</v>
      </c>
      <c r="C8" s="47">
        <v>4000</v>
      </c>
      <c r="D8" s="223">
        <v>3500</v>
      </c>
      <c r="E8" s="47">
        <f t="shared" si="0"/>
        <v>500</v>
      </c>
      <c r="F8" s="224">
        <f t="shared" si="1"/>
        <v>0.875</v>
      </c>
      <c r="G8" s="224">
        <f t="shared" si="2"/>
        <v>0.17077464788732394</v>
      </c>
      <c r="H8" s="47">
        <f t="shared" si="3"/>
        <v>2817</v>
      </c>
      <c r="I8" s="167" t="str">
        <f t="shared" si="4"/>
        <v>OFFLOAD 2817 GB</v>
      </c>
    </row>
    <row r="9" spans="1:9" x14ac:dyDescent="0.2">
      <c r="A9" s="166" t="s">
        <v>2056</v>
      </c>
      <c r="B9" s="47" t="s">
        <v>1948</v>
      </c>
      <c r="C9" s="47">
        <v>8000</v>
      </c>
      <c r="D9" s="223">
        <v>500</v>
      </c>
      <c r="E9" s="47">
        <f t="shared" si="0"/>
        <v>7500</v>
      </c>
      <c r="F9" s="224">
        <f t="shared" si="1"/>
        <v>6.25E-2</v>
      </c>
      <c r="G9" s="224">
        <f t="shared" si="2"/>
        <v>0.17077464788732394</v>
      </c>
      <c r="H9" s="47">
        <f t="shared" si="3"/>
        <v>-866</v>
      </c>
      <c r="I9" s="167" t="str">
        <f t="shared" si="4"/>
        <v>can receive 866 GB</v>
      </c>
    </row>
    <row r="10" spans="1:9" x14ac:dyDescent="0.2">
      <c r="A10" s="166" t="s">
        <v>2057</v>
      </c>
      <c r="B10" s="47" t="s">
        <v>1955</v>
      </c>
      <c r="C10" s="47">
        <v>2000</v>
      </c>
      <c r="D10" s="223">
        <v>250</v>
      </c>
      <c r="E10" s="47">
        <f t="shared" si="0"/>
        <v>1750</v>
      </c>
      <c r="F10" s="224">
        <f t="shared" si="1"/>
        <v>0.125</v>
      </c>
      <c r="G10" s="224">
        <f t="shared" si="2"/>
        <v>0.17077464788732394</v>
      </c>
      <c r="H10" s="47">
        <f t="shared" si="3"/>
        <v>-92</v>
      </c>
      <c r="I10" s="167" t="str">
        <f t="shared" si="4"/>
        <v>can receive 92 GB</v>
      </c>
    </row>
    <row r="11" spans="1:9" x14ac:dyDescent="0.2">
      <c r="A11" s="166" t="s">
        <v>1825</v>
      </c>
      <c r="B11" s="47" t="s">
        <v>1955</v>
      </c>
      <c r="C11" s="47">
        <v>100000</v>
      </c>
      <c r="D11" s="223">
        <v>0</v>
      </c>
      <c r="E11" s="47">
        <f t="shared" si="0"/>
        <v>100000</v>
      </c>
      <c r="F11" s="224">
        <f t="shared" si="1"/>
        <v>0</v>
      </c>
      <c r="G11" s="224">
        <f t="shared" si="2"/>
        <v>0.17077464788732394</v>
      </c>
      <c r="H11" s="47">
        <f t="shared" si="3"/>
        <v>-17077</v>
      </c>
      <c r="I11" s="167" t="str">
        <f t="shared" si="4"/>
        <v>can receive 17077 GB</v>
      </c>
    </row>
    <row r="12" spans="1:9" x14ac:dyDescent="0.2">
      <c r="A12" s="226" t="s">
        <v>858</v>
      </c>
      <c r="B12" s="47"/>
      <c r="C12" s="227">
        <f>SUM(C6:C11)</f>
        <v>142000</v>
      </c>
      <c r="D12" s="227">
        <f>SUM(D6:D11)</f>
        <v>24250</v>
      </c>
      <c r="E12" s="227">
        <f>SUM(E6:E11)</f>
        <v>117750</v>
      </c>
      <c r="F12" s="228">
        <f t="shared" si="1"/>
        <v>0.17077464788732394</v>
      </c>
      <c r="G12" s="47"/>
      <c r="H12" s="47"/>
      <c r="I12" s="167"/>
    </row>
    <row r="14" spans="1:9" x14ac:dyDescent="0.2">
      <c r="A14" s="2" t="s">
        <v>2058</v>
      </c>
    </row>
    <row r="15" spans="1:9" x14ac:dyDescent="0.2">
      <c r="A15" s="171" t="s">
        <v>2059</v>
      </c>
      <c r="B15" s="46" t="s">
        <v>2060</v>
      </c>
      <c r="C15" s="46" t="s">
        <v>2061</v>
      </c>
      <c r="D15" s="46" t="s">
        <v>2062</v>
      </c>
      <c r="E15" s="46" t="s">
        <v>2063</v>
      </c>
      <c r="F15" s="172" t="s">
        <v>2064</v>
      </c>
    </row>
    <row r="16" spans="1:9" x14ac:dyDescent="0.2">
      <c r="A16" s="166" t="s">
        <v>738</v>
      </c>
      <c r="B16" s="223">
        <v>1</v>
      </c>
      <c r="C16" s="223">
        <v>0</v>
      </c>
      <c r="D16" s="47">
        <f>B16+C16</f>
        <v>1</v>
      </c>
      <c r="E16" s="47" t="str">
        <f>IF(AND(B16&gt;=2,C16&gt;=1),"✓ 3-2-1",IF(D16&gt;=1,"⚠ under-replicated","✗ no copies"))</f>
        <v>⚠ under-replicated</v>
      </c>
      <c r="F16" s="167" t="str">
        <f>IF(AND(B16&gt;=2,C16&gt;=1),"— fully represented",TRIM(IF(B16&lt;2,"need "&amp;(2-B16)&amp;" more local; ","")&amp;IF(C16&lt;1,"need offsite copy","")))</f>
        <v>need 1 more local; need offsite copy</v>
      </c>
    </row>
    <row r="17" spans="1:6" x14ac:dyDescent="0.2">
      <c r="A17" s="166" t="s">
        <v>747</v>
      </c>
      <c r="B17" s="223">
        <v>1</v>
      </c>
      <c r="C17" s="223">
        <v>0</v>
      </c>
      <c r="D17" s="47">
        <f>B17+C17</f>
        <v>1</v>
      </c>
      <c r="E17" s="47" t="str">
        <f>IF(AND(B17&gt;=2,C17&gt;=1),"✓ 3-2-1",IF(D17&gt;=1,"⚠ under-replicated","✗ no copies"))</f>
        <v>⚠ under-replicated</v>
      </c>
      <c r="F17" s="167" t="str">
        <f>IF(AND(B17&gt;=2,C17&gt;=1),"— fully represented",TRIM(IF(B17&lt;2,"need "&amp;(2-B17)&amp;" more local; ","")&amp;IF(C17&lt;1,"need offsite copy","")))</f>
        <v>need 1 more local; need offsite copy</v>
      </c>
    </row>
    <row r="18" spans="1:6" x14ac:dyDescent="0.2">
      <c r="A18" s="166" t="s">
        <v>755</v>
      </c>
      <c r="B18" s="223">
        <v>1</v>
      </c>
      <c r="C18" s="223">
        <v>0</v>
      </c>
      <c r="D18" s="47">
        <f>B18+C18</f>
        <v>1</v>
      </c>
      <c r="E18" s="47" t="str">
        <f>IF(AND(B18&gt;=2,C18&gt;=1),"✓ 3-2-1",IF(D18&gt;=1,"⚠ under-replicated","✗ no copies"))</f>
        <v>⚠ under-replicated</v>
      </c>
      <c r="F18" s="167" t="str">
        <f>IF(AND(B18&gt;=2,C18&gt;=1),"— fully represented",TRIM(IF(B18&lt;2,"need "&amp;(2-B18)&amp;" more local; ","")&amp;IF(C18&lt;1,"need offsite copy","")))</f>
        <v>need 1 more local; need offsite copy</v>
      </c>
    </row>
    <row r="19" spans="1:6" x14ac:dyDescent="0.2">
      <c r="A19" s="166" t="s">
        <v>2065</v>
      </c>
      <c r="B19" s="223">
        <v>1</v>
      </c>
      <c r="C19" s="223">
        <v>0</v>
      </c>
      <c r="D19" s="47">
        <f>B19+C19</f>
        <v>1</v>
      </c>
      <c r="E19" s="47" t="str">
        <f>IF(AND(B19&gt;=2,C19&gt;=1),"✓ 3-2-1",IF(D19&gt;=1,"⚠ under-replicated","✗ no copies"))</f>
        <v>⚠ under-replicated</v>
      </c>
      <c r="F19" s="167" t="str">
        <f>IF(AND(B19&gt;=2,C19&gt;=1),"— fully represented",TRIM(IF(B19&lt;2,"need "&amp;(2-B19)&amp;" more local; ","")&amp;IF(C19&lt;1,"need offsite copy","")))</f>
        <v>need 1 more local; need offsite copy</v>
      </c>
    </row>
    <row r="20" spans="1:6" x14ac:dyDescent="0.2">
      <c r="A20" s="166" t="s">
        <v>2066</v>
      </c>
      <c r="B20" s="223">
        <v>1</v>
      </c>
      <c r="C20" s="223">
        <v>0</v>
      </c>
      <c r="D20" s="47">
        <f>B20+C20</f>
        <v>1</v>
      </c>
      <c r="E20" s="47" t="str">
        <f>IF(AND(B20&gt;=2,C20&gt;=1),"✓ 3-2-1",IF(D20&gt;=1,"⚠ under-replicated","✗ no copies"))</f>
        <v>⚠ under-replicated</v>
      </c>
      <c r="F20" s="167" t="str">
        <f>IF(AND(B20&gt;=2,C20&gt;=1),"— fully represented",TRIM(IF(B20&lt;2,"need "&amp;(2-B20)&amp;" more local; ","")&amp;IF(C20&lt;1,"need offsite copy","")))</f>
        <v>need 1 more local; need offsite copy</v>
      </c>
    </row>
    <row r="22" spans="1:6" x14ac:dyDescent="0.2">
      <c r="A22" t="s">
        <v>2067</v>
      </c>
      <c r="B22" s="155" t="str">
        <f>TEXT(COUNTIF(E16:E20,"✓ 3-2-1")/5,"0%")&amp;" of datasets fully represented (3-2-1)"</f>
        <v>0% of datasets fully represented (3-2-1)</v>
      </c>
    </row>
  </sheetData>
  <conditionalFormatting sqref="E16:E20">
    <cfRule type="containsText" dxfId="5" priority="4" stopIfTrue="1" operator="containsText" text="3-2-1">
      <formula>NOT(ISERROR(SEARCH("3-2-1",E16)))</formula>
    </cfRule>
    <cfRule type="containsText" dxfId="4" priority="5" stopIfTrue="1" operator="containsText" text="under">
      <formula>NOT(ISERROR(SEARCH("under",E16)))</formula>
    </cfRule>
    <cfRule type="containsText" dxfId="3" priority="6" stopIfTrue="1" operator="containsText" text="no copies">
      <formula>NOT(ISERROR(SEARCH("no copies",E16)))</formula>
    </cfRule>
  </conditionalFormatting>
  <conditionalFormatting sqref="I6:I11">
    <cfRule type="containsText" dxfId="2" priority="1" stopIfTrue="1" operator="containsText" text="OFFLOAD">
      <formula>NOT(ISERROR(SEARCH("OFFLOAD",I6)))</formula>
    </cfRule>
    <cfRule type="containsText" dxfId="1" priority="2" stopIfTrue="1" operator="containsText" text="receive">
      <formula>NOT(ISERROR(SEARCH("receive",I6)))</formula>
    </cfRule>
    <cfRule type="containsText" dxfId="0" priority="3" stopIfTrue="1" operator="containsText" text="balanced">
      <formula>NOT(ISERROR(SEARCH("balanced",I6)))</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60FF5-5ABB-A444-9555-3601806945F3}">
  <dimension ref="A1:F19"/>
  <sheetViews>
    <sheetView workbookViewId="0">
      <pane ySplit="3" topLeftCell="A4" activePane="bottomLeft" state="frozen"/>
      <selection pane="bottomLeft"/>
    </sheetView>
  </sheetViews>
  <sheetFormatPr baseColWidth="10" defaultRowHeight="16" x14ac:dyDescent="0.2"/>
  <cols>
    <col min="1" max="1" width="41.6640625" customWidth="1"/>
    <col min="4" max="4" width="28.33203125" customWidth="1"/>
    <col min="5" max="5" width="26.6640625" customWidth="1"/>
  </cols>
  <sheetData>
    <row r="1" spans="1:6" ht="19" x14ac:dyDescent="0.25">
      <c r="A1" s="1" t="s">
        <v>2124</v>
      </c>
    </row>
    <row r="2" spans="1:6" x14ac:dyDescent="0.2">
      <c r="A2" s="69" t="s">
        <v>2125</v>
      </c>
    </row>
    <row r="3" spans="1:6" x14ac:dyDescent="0.2">
      <c r="A3" s="171" t="s">
        <v>2126</v>
      </c>
      <c r="B3" s="46" t="s">
        <v>2127</v>
      </c>
      <c r="C3" s="46" t="s">
        <v>2128</v>
      </c>
      <c r="D3" s="46" t="s">
        <v>2129</v>
      </c>
      <c r="E3" s="46" t="s">
        <v>2130</v>
      </c>
      <c r="F3" s="172" t="s">
        <v>2131</v>
      </c>
    </row>
    <row r="4" spans="1:6" x14ac:dyDescent="0.2">
      <c r="A4" s="166" t="s">
        <v>2132</v>
      </c>
      <c r="B4" s="47" t="s">
        <v>2133</v>
      </c>
      <c r="C4" s="235" t="s">
        <v>2134</v>
      </c>
      <c r="D4" s="47" t="s">
        <v>2135</v>
      </c>
      <c r="E4" s="47" t="s">
        <v>2136</v>
      </c>
      <c r="F4" s="236">
        <v>0</v>
      </c>
    </row>
    <row r="5" spans="1:6" x14ac:dyDescent="0.2">
      <c r="A5" s="166" t="s">
        <v>2137</v>
      </c>
      <c r="B5" s="47" t="s">
        <v>2133</v>
      </c>
      <c r="C5" s="235" t="s">
        <v>2134</v>
      </c>
      <c r="D5" s="47" t="s">
        <v>2138</v>
      </c>
      <c r="E5" s="47" t="s">
        <v>2136</v>
      </c>
      <c r="F5" s="236">
        <v>0</v>
      </c>
    </row>
    <row r="6" spans="1:6" x14ac:dyDescent="0.2">
      <c r="A6" s="166" t="s">
        <v>2139</v>
      </c>
      <c r="B6" s="47" t="s">
        <v>2133</v>
      </c>
      <c r="C6" s="235" t="s">
        <v>2134</v>
      </c>
      <c r="D6" s="47" t="s">
        <v>2140</v>
      </c>
      <c r="E6" s="47" t="s">
        <v>2141</v>
      </c>
      <c r="F6" s="236">
        <v>150</v>
      </c>
    </row>
    <row r="7" spans="1:6" x14ac:dyDescent="0.2">
      <c r="A7" s="166" t="s">
        <v>2142</v>
      </c>
      <c r="B7" s="47" t="s">
        <v>2143</v>
      </c>
      <c r="C7" s="202" t="s">
        <v>2144</v>
      </c>
      <c r="D7" s="47" t="s">
        <v>2145</v>
      </c>
      <c r="E7" s="47" t="s">
        <v>2146</v>
      </c>
      <c r="F7" s="236">
        <v>0</v>
      </c>
    </row>
    <row r="8" spans="1:6" x14ac:dyDescent="0.2">
      <c r="A8" s="166" t="s">
        <v>2147</v>
      </c>
      <c r="B8" s="47" t="s">
        <v>2148</v>
      </c>
      <c r="C8" s="237" t="s">
        <v>2149</v>
      </c>
      <c r="D8" s="47" t="s">
        <v>2150</v>
      </c>
      <c r="E8" s="47" t="s">
        <v>2151</v>
      </c>
      <c r="F8" s="236">
        <v>0</v>
      </c>
    </row>
    <row r="9" spans="1:6" x14ac:dyDescent="0.2">
      <c r="A9" s="166" t="s">
        <v>2152</v>
      </c>
      <c r="B9" s="47" t="s">
        <v>2148</v>
      </c>
      <c r="C9" s="237" t="s">
        <v>2149</v>
      </c>
      <c r="D9" s="47" t="s">
        <v>2153</v>
      </c>
      <c r="E9" s="47" t="s">
        <v>1825</v>
      </c>
      <c r="F9" s="236">
        <v>0</v>
      </c>
    </row>
    <row r="10" spans="1:6" x14ac:dyDescent="0.2">
      <c r="A10" s="166" t="s">
        <v>2154</v>
      </c>
      <c r="B10" s="47" t="s">
        <v>2143</v>
      </c>
      <c r="C10" s="237" t="s">
        <v>2149</v>
      </c>
      <c r="D10" s="47" t="s">
        <v>2155</v>
      </c>
      <c r="E10" s="47" t="s">
        <v>2156</v>
      </c>
      <c r="F10" s="236">
        <v>0</v>
      </c>
    </row>
    <row r="11" spans="1:6" x14ac:dyDescent="0.2">
      <c r="A11" s="166" t="s">
        <v>2157</v>
      </c>
      <c r="B11" s="47" t="s">
        <v>2158</v>
      </c>
      <c r="C11" s="237" t="s">
        <v>2159</v>
      </c>
      <c r="D11" s="47" t="s">
        <v>2160</v>
      </c>
      <c r="E11" s="47" t="s">
        <v>2161</v>
      </c>
      <c r="F11" s="236">
        <v>0</v>
      </c>
    </row>
    <row r="12" spans="1:6" x14ac:dyDescent="0.2">
      <c r="A12" s="166" t="s">
        <v>2162</v>
      </c>
      <c r="B12" s="47" t="s">
        <v>835</v>
      </c>
      <c r="C12" s="202" t="s">
        <v>2163</v>
      </c>
      <c r="D12" s="47" t="s">
        <v>2164</v>
      </c>
      <c r="E12" s="47" t="s">
        <v>2165</v>
      </c>
      <c r="F12" s="236">
        <v>0</v>
      </c>
    </row>
    <row r="14" spans="1:6" x14ac:dyDescent="0.2">
      <c r="A14" s="70" t="s">
        <v>2166</v>
      </c>
    </row>
    <row r="15" spans="1:6" x14ac:dyDescent="0.2">
      <c r="A15" s="157" t="s">
        <v>2167</v>
      </c>
      <c r="B15" s="239">
        <f>SUMIF(C4:C12,"STAY",F4:F12)+SUMIF(C4:C12,"1 LOCAL",F4:F12)</f>
        <v>150</v>
      </c>
    </row>
    <row r="16" spans="1:6" x14ac:dyDescent="0.2">
      <c r="A16" s="158" t="s">
        <v>2168</v>
      </c>
      <c r="B16" s="234">
        <f>SUMIF(C4:C12,"OFFLOAD",F4:F12)</f>
        <v>0</v>
      </c>
    </row>
    <row r="17" spans="1:2" x14ac:dyDescent="0.2">
      <c r="A17" s="158" t="s">
        <v>2169</v>
      </c>
      <c r="B17" s="234">
        <f>SUMIF(C4:C12,"RECLAIM",F4:F12)</f>
        <v>0</v>
      </c>
    </row>
    <row r="18" spans="1:2" x14ac:dyDescent="0.2">
      <c r="A18" s="158" t="s">
        <v>2170</v>
      </c>
      <c r="B18" s="219">
        <f>SUM(F4:F12)</f>
        <v>150</v>
      </c>
    </row>
    <row r="19" spans="1:2" x14ac:dyDescent="0.2">
      <c r="A19" s="160" t="s">
        <v>2171</v>
      </c>
      <c r="B19" s="240">
        <f>IFERROR((B16+B17)/B18,0)</f>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6FB9B-951D-F34E-A965-022D110349B2}">
  <dimension ref="A1:J21"/>
  <sheetViews>
    <sheetView workbookViewId="0">
      <pane ySplit="3" topLeftCell="A4" activePane="bottomLeft" state="frozen"/>
      <selection pane="bottomLeft"/>
    </sheetView>
  </sheetViews>
  <sheetFormatPr baseColWidth="10" defaultRowHeight="16" x14ac:dyDescent="0.2"/>
  <cols>
    <col min="2" max="2" width="46.6640625" customWidth="1"/>
    <col min="4" max="4" width="41.6640625" customWidth="1"/>
    <col min="7" max="7" width="36.6640625" customWidth="1"/>
  </cols>
  <sheetData>
    <row r="1" spans="1:10" ht="19" x14ac:dyDescent="0.25">
      <c r="A1" s="1" t="s">
        <v>2172</v>
      </c>
      <c r="I1" s="70" t="s">
        <v>2212</v>
      </c>
    </row>
    <row r="2" spans="1:10" x14ac:dyDescent="0.2">
      <c r="A2" s="69" t="s">
        <v>2173</v>
      </c>
      <c r="I2" t="s">
        <v>2181</v>
      </c>
      <c r="J2" s="13">
        <f>COUNTIF(F4:F12,"Open")</f>
        <v>8</v>
      </c>
    </row>
    <row r="3" spans="1:10" x14ac:dyDescent="0.2">
      <c r="A3" s="163" t="s">
        <v>2174</v>
      </c>
      <c r="B3" s="164" t="s">
        <v>2175</v>
      </c>
      <c r="C3" s="164" t="s">
        <v>6</v>
      </c>
      <c r="D3" s="164" t="s">
        <v>819</v>
      </c>
      <c r="E3" s="164" t="s">
        <v>2176</v>
      </c>
      <c r="F3" s="164" t="s">
        <v>21</v>
      </c>
      <c r="G3" s="165" t="s">
        <v>24</v>
      </c>
      <c r="I3" s="2" t="s">
        <v>2205</v>
      </c>
      <c r="J3" s="13">
        <f>COUNTIF(F4:F12,"Waiting")</f>
        <v>1</v>
      </c>
    </row>
    <row r="4" spans="1:10" x14ac:dyDescent="0.2">
      <c r="A4" s="166" t="s">
        <v>2177</v>
      </c>
      <c r="B4" s="47" t="s">
        <v>2178</v>
      </c>
      <c r="C4" s="47" t="s">
        <v>1955</v>
      </c>
      <c r="D4" s="237" t="s">
        <v>2179</v>
      </c>
      <c r="E4" s="47" t="s">
        <v>2180</v>
      </c>
      <c r="F4" s="47" t="s">
        <v>2181</v>
      </c>
      <c r="G4" s="167" t="s">
        <v>2182</v>
      </c>
      <c r="I4" t="s">
        <v>2213</v>
      </c>
      <c r="J4" s="232">
        <f>COUNTIF(F4:F12,"Done")</f>
        <v>0</v>
      </c>
    </row>
    <row r="5" spans="1:10" x14ac:dyDescent="0.2">
      <c r="A5" s="166" t="s">
        <v>2183</v>
      </c>
      <c r="B5" s="47" t="s">
        <v>2184</v>
      </c>
      <c r="C5" s="47" t="s">
        <v>2185</v>
      </c>
      <c r="D5" s="237" t="s">
        <v>2179</v>
      </c>
      <c r="E5" s="47" t="s">
        <v>2186</v>
      </c>
      <c r="F5" s="47" t="s">
        <v>2181</v>
      </c>
      <c r="G5" s="167" t="s">
        <v>2187</v>
      </c>
      <c r="I5" t="s">
        <v>2214</v>
      </c>
      <c r="J5" s="233">
        <f>COUNTIF(D4:D12,"P1")</f>
        <v>3</v>
      </c>
    </row>
    <row r="6" spans="1:10" x14ac:dyDescent="0.2">
      <c r="A6" s="166" t="s">
        <v>2188</v>
      </c>
      <c r="B6" s="47" t="s">
        <v>2189</v>
      </c>
      <c r="C6" s="47" t="s">
        <v>2190</v>
      </c>
      <c r="D6" s="237" t="s">
        <v>2179</v>
      </c>
      <c r="E6" s="47" t="s">
        <v>2180</v>
      </c>
      <c r="F6" s="47" t="s">
        <v>2181</v>
      </c>
      <c r="G6" s="167" t="s">
        <v>1748</v>
      </c>
    </row>
    <row r="7" spans="1:10" x14ac:dyDescent="0.2">
      <c r="A7" s="166" t="s">
        <v>2191</v>
      </c>
      <c r="B7" s="47" t="s">
        <v>2192</v>
      </c>
      <c r="C7" s="47" t="s">
        <v>2190</v>
      </c>
      <c r="D7" s="202" t="s">
        <v>2193</v>
      </c>
      <c r="E7" s="47" t="s">
        <v>2180</v>
      </c>
      <c r="F7" s="47" t="s">
        <v>2181</v>
      </c>
      <c r="G7" s="167" t="s">
        <v>2194</v>
      </c>
    </row>
    <row r="8" spans="1:10" x14ac:dyDescent="0.2">
      <c r="A8" s="166" t="s">
        <v>2195</v>
      </c>
      <c r="B8" s="47" t="s">
        <v>2196</v>
      </c>
      <c r="C8" s="47" t="s">
        <v>838</v>
      </c>
      <c r="D8" s="202" t="s">
        <v>2193</v>
      </c>
      <c r="E8" s="47" t="s">
        <v>2180</v>
      </c>
      <c r="F8" s="47" t="s">
        <v>2181</v>
      </c>
      <c r="G8" s="167" t="s">
        <v>2197</v>
      </c>
    </row>
    <row r="9" spans="1:10" x14ac:dyDescent="0.2">
      <c r="A9" s="166" t="s">
        <v>2198</v>
      </c>
      <c r="B9" s="47" t="s">
        <v>2199</v>
      </c>
      <c r="C9" s="47" t="s">
        <v>229</v>
      </c>
      <c r="D9" s="241" t="s">
        <v>2200</v>
      </c>
      <c r="E9" s="47" t="s">
        <v>2180</v>
      </c>
      <c r="F9" s="47" t="s">
        <v>2181</v>
      </c>
      <c r="G9" s="167" t="s">
        <v>2201</v>
      </c>
    </row>
    <row r="10" spans="1:10" x14ac:dyDescent="0.2">
      <c r="A10" s="166" t="s">
        <v>2202</v>
      </c>
      <c r="B10" s="47" t="s">
        <v>2203</v>
      </c>
      <c r="C10" s="47" t="s">
        <v>2185</v>
      </c>
      <c r="D10" s="202" t="s">
        <v>2193</v>
      </c>
      <c r="E10" s="47" t="s">
        <v>2204</v>
      </c>
      <c r="F10" s="47" t="s">
        <v>2205</v>
      </c>
      <c r="G10" s="167" t="s">
        <v>2206</v>
      </c>
    </row>
    <row r="11" spans="1:10" x14ac:dyDescent="0.2">
      <c r="A11" s="166" t="s">
        <v>2207</v>
      </c>
      <c r="B11" s="47" t="s">
        <v>2208</v>
      </c>
      <c r="C11" s="47" t="s">
        <v>2209</v>
      </c>
      <c r="D11" s="242" t="s">
        <v>2210</v>
      </c>
      <c r="E11" s="47" t="s">
        <v>2180</v>
      </c>
      <c r="F11" s="47" t="s">
        <v>2181</v>
      </c>
      <c r="G11" s="167" t="s">
        <v>2211</v>
      </c>
    </row>
    <row r="12" spans="1:10" x14ac:dyDescent="0.2">
      <c r="A12" s="255" t="s">
        <v>2315</v>
      </c>
      <c r="B12" s="150" t="s">
        <v>2316</v>
      </c>
      <c r="C12" s="150" t="s">
        <v>2317</v>
      </c>
      <c r="D12" s="256" t="s">
        <v>2193</v>
      </c>
      <c r="E12" s="150" t="s">
        <v>2318</v>
      </c>
      <c r="F12" s="150" t="s">
        <v>2181</v>
      </c>
      <c r="G12" s="181" t="s">
        <v>2319</v>
      </c>
    </row>
    <row r="13" spans="1:10" x14ac:dyDescent="0.2">
      <c r="A13" s="192" t="s">
        <v>2215</v>
      </c>
    </row>
    <row r="14" spans="1:10" x14ac:dyDescent="0.2">
      <c r="A14" s="162" t="s">
        <v>1361</v>
      </c>
      <c r="B14" s="162" t="s">
        <v>2216</v>
      </c>
      <c r="C14" s="162" t="s">
        <v>2217</v>
      </c>
      <c r="D14" s="162" t="s">
        <v>2218</v>
      </c>
    </row>
    <row r="15" spans="1:10" x14ac:dyDescent="0.2">
      <c r="A15" s="158" t="s">
        <v>2219</v>
      </c>
      <c r="B15" s="158" t="s">
        <v>2220</v>
      </c>
      <c r="C15" s="243" t="s">
        <v>2221</v>
      </c>
      <c r="D15" s="158" t="s">
        <v>2222</v>
      </c>
    </row>
    <row r="16" spans="1:10" x14ac:dyDescent="0.2">
      <c r="A16" s="158" t="s">
        <v>2223</v>
      </c>
      <c r="B16" s="158" t="s">
        <v>2224</v>
      </c>
      <c r="C16" s="208" t="s">
        <v>2225</v>
      </c>
      <c r="D16" s="158" t="s">
        <v>2226</v>
      </c>
    </row>
    <row r="17" spans="1:4" x14ac:dyDescent="0.2">
      <c r="A17" s="158" t="s">
        <v>2227</v>
      </c>
      <c r="B17" s="158" t="s">
        <v>2228</v>
      </c>
      <c r="C17" s="243" t="s">
        <v>300</v>
      </c>
      <c r="D17" s="158" t="s">
        <v>2229</v>
      </c>
    </row>
    <row r="18" spans="1:4" x14ac:dyDescent="0.2">
      <c r="A18" s="158" t="s">
        <v>2230</v>
      </c>
      <c r="B18" s="158" t="s">
        <v>2231</v>
      </c>
      <c r="C18" s="243" t="s">
        <v>2232</v>
      </c>
      <c r="D18" s="158" t="s">
        <v>2233</v>
      </c>
    </row>
    <row r="19" spans="1:4" x14ac:dyDescent="0.2">
      <c r="A19" s="158" t="s">
        <v>2234</v>
      </c>
      <c r="B19" s="158" t="s">
        <v>2235</v>
      </c>
      <c r="C19" s="243" t="s">
        <v>300</v>
      </c>
      <c r="D19" s="158" t="s">
        <v>2236</v>
      </c>
    </row>
    <row r="20" spans="1:4" x14ac:dyDescent="0.2">
      <c r="A20" s="158" t="s">
        <v>2237</v>
      </c>
      <c r="B20" s="158" t="s">
        <v>2238</v>
      </c>
      <c r="C20" s="243" t="s">
        <v>300</v>
      </c>
      <c r="D20" s="158" t="s">
        <v>2239</v>
      </c>
    </row>
    <row r="21" spans="1:4" x14ac:dyDescent="0.2">
      <c r="A21" s="160" t="s">
        <v>2240</v>
      </c>
      <c r="B21" s="160" t="s">
        <v>2241</v>
      </c>
      <c r="C21" s="244" t="s">
        <v>300</v>
      </c>
      <c r="D21" s="160" t="s">
        <v>2242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ocument_x0020_Purpose xmlns="f577acbf-5b0b-4b4f-9948-268e97f8d3a4">Informational</Document_x0020_Purpose>
    <Initiatives xmlns="f577acbf-5b0b-4b4f-9948-268e97f8d3a4"/>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D401524DC532D42A0E0ED886331A72B" ma:contentTypeVersion="13" ma:contentTypeDescription="Create a new document." ma:contentTypeScope="" ma:versionID="d936d863d335d354da51eb78ca1ae338">
  <xsd:schema xmlns:xsd="http://www.w3.org/2001/XMLSchema" xmlns:xs="http://www.w3.org/2001/XMLSchema" xmlns:p="http://schemas.microsoft.com/office/2006/metadata/properties" xmlns:ns2="f577acbf-5b0b-4b4f-9948-268e97f8d3a4" xmlns:ns3="b1e4d6ee-9f6f-43f8-a618-24f3d84da28f" targetNamespace="http://schemas.microsoft.com/office/2006/metadata/properties" ma:root="true" ma:fieldsID="5fbac08d56b1b04aa33acbc31e882ce9" ns2:_="" ns3:_="">
    <xsd:import namespace="f577acbf-5b0b-4b4f-9948-268e97f8d3a4"/>
    <xsd:import namespace="b1e4d6ee-9f6f-43f8-a618-24f3d84da2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3:LastSharedByUser" minOccurs="0"/>
                <xsd:element ref="ns3:LastSharedByTime" minOccurs="0"/>
                <xsd:element ref="ns2:Document_x0020_Purpose" minOccurs="0"/>
                <xsd:element ref="ns2:Initiatives" minOccurs="0"/>
                <xsd:element ref="ns2:MediaServiceDateTaken" minOccurs="0"/>
                <xsd:element ref="ns2:MediaServiceAutoTags"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77acbf-5b0b-4b4f-9948-268e97f8d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ocument_x0020_Purpose" ma:index="14" nillable="true" ma:displayName="Document Purpose" ma:default="Informational" ma:format="Dropdown" ma:internalName="Document_x0020_Purpose">
      <xsd:simpleType>
        <xsd:restriction base="dms:Choice">
          <xsd:enumeration value="Informational"/>
          <xsd:enumeration value="Feature Spec"/>
          <xsd:enumeration value="Engineering Design"/>
          <xsd:enumeration value="Planning"/>
        </xsd:restriction>
      </xsd:simpleType>
    </xsd:element>
    <xsd:element name="Initiatives" ma:index="15" nillable="true" ma:displayName="Initiatives" ma:description="List of initiatives related to this document" ma:internalName="Initiatives">
      <xsd:complexType>
        <xsd:complexContent>
          <xsd:extension base="dms:MultiChoice">
            <xsd:sequence>
              <xsd:element name="Value" maxOccurs="unbounded" minOccurs="0" nillable="true">
                <xsd:simpleType>
                  <xsd:restriction base="dms:Choice">
                    <xsd:enumeration value="Add-in MAU"/>
                    <xsd:enumeration value="Custom Functions"/>
                    <xsd:enumeration value="Data &amp; Analytics"/>
                    <xsd:enumeration value="DevEx: Portals &amp; Programs"/>
                    <xsd:enumeration value="DevEx: Tools &amp; Libraries"/>
                    <xsd:enumeration value="Engineering"/>
                    <xsd:enumeration value="Excel API"/>
                    <xsd:enumeration value="In-Market Support"/>
                    <xsd:enumeration value="Maker Access"/>
                    <xsd:enumeration value="SDX Runtime &amp; Partners"/>
                    <xsd:enumeration value="SDX Service Delivery"/>
                    <xsd:enumeration value="SDX API &amp; Pipeline"/>
                    <xsd:enumeration value="Shield &amp; OCE"/>
                  </xsd:restriction>
                </xsd:simpleType>
              </xsd:element>
            </xsd:sequence>
          </xsd:extension>
        </xsd:complexContent>
      </xsd:complex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OCR" ma:index="18" nillable="true" ma:displayName="MediaServiceOCR" ma:internalName="MediaServiceOCR" ma:readOnly="true">
      <xsd:simpleType>
        <xsd:restriction base="dms:Note">
          <xsd:maxLength value="255"/>
        </xsd:restriction>
      </xsd:simpleType>
    </xsd:element>
    <xsd:element name="MediaServiceLocation" ma:index="19" nillable="true" ma:displayName="MediaServic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e4d6ee-9f6f-43f8-a618-24f3d84da28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LastSharedByUser" ma:index="12" nillable="true" ma:displayName="Last Shared By User" ma:hidden="true" ma:internalName="LastSharedByUser" ma:readOnly="true">
      <xsd:simpleType>
        <xsd:restriction base="dms:Note"/>
      </xsd:simpleType>
    </xsd:element>
    <xsd:element name="LastSharedByTime" ma:index="13"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48E296-90D9-4A92-A29D-759F46DCA7D9}">
  <ds:schemaRefs>
    <ds:schemaRef ds:uri="http://schemas.microsoft.com/sharepoint/v3/contenttype/forms"/>
  </ds:schemaRefs>
</ds:datastoreItem>
</file>

<file path=customXml/itemProps2.xml><?xml version="1.0" encoding="utf-8"?>
<ds:datastoreItem xmlns:ds="http://schemas.openxmlformats.org/officeDocument/2006/customXml" ds:itemID="{70FB5453-596E-4CE8-BCCA-8DF4D5465AF4}">
  <ds:schemaRefs>
    <ds:schemaRef ds:uri="http://schemas.microsoft.com/office/2006/metadata/properties"/>
    <ds:schemaRef ds:uri="b1e4d6ee-9f6f-43f8-a618-24f3d84da28f"/>
    <ds:schemaRef ds:uri="http://purl.org/dc/terms/"/>
    <ds:schemaRef ds:uri="http://schemas.openxmlformats.org/package/2006/metadata/core-properties"/>
    <ds:schemaRef ds:uri="f577acbf-5b0b-4b4f-9948-268e97f8d3a4"/>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3.xml><?xml version="1.0" encoding="utf-8"?>
<ds:datastoreItem xmlns:ds="http://schemas.openxmlformats.org/officeDocument/2006/customXml" ds:itemID="{2426A393-DB36-49FF-B8B1-6D5559B7AB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77acbf-5b0b-4b4f-9948-268e97f8d3a4"/>
    <ds:schemaRef ds:uri="b1e4d6ee-9f6f-43f8-a618-24f3d84da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48</vt:i4>
      </vt:variant>
    </vt:vector>
  </HeadingPairs>
  <TitlesOfParts>
    <vt:vector size="48" baseType="lpstr">
      <vt:lpstr>Command Center</vt:lpstr>
      <vt:lpstr>Daily Council LIVE</vt:lpstr>
      <vt:lpstr>GABRIEL</vt:lpstr>
      <vt:lpstr>Tooling Audit</vt:lpstr>
      <vt:lpstr>DreamChamber Index</vt:lpstr>
      <vt:lpstr>The Build Chamber</vt:lpstr>
      <vt:lpstr>Core Base System</vt:lpstr>
      <vt:lpstr>Empire Timeline</vt:lpstr>
      <vt:lpstr>Issues &amp; Fixes</vt:lpstr>
      <vt:lpstr>Heaven Worker</vt:lpstr>
      <vt:lpstr>Cloudflare Worker</vt:lpstr>
      <vt:lpstr>Fix Walkthrough</vt:lpstr>
      <vt:lpstr>Build Readiness</vt:lpstr>
      <vt:lpstr>Setup To-Do</vt:lpstr>
      <vt:lpstr>Connector Audit</vt:lpstr>
      <vt:lpstr>Brand Universe</vt:lpstr>
      <vt:lpstr>People &amp; Agents</vt:lpstr>
      <vt:lpstr>Identity &amp; Footprint</vt:lpstr>
      <vt:lpstr>DNS &amp; Infrastructure</vt:lpstr>
      <vt:lpstr>Social &amp; Admin Audit</vt:lpstr>
      <vt:lpstr>Drive Audit</vt:lpstr>
      <vt:lpstr>User &amp; Email Audit</vt:lpstr>
      <vt:lpstr>Samples</vt:lpstr>
      <vt:lpstr>Processing</vt:lpstr>
      <vt:lpstr>Vendors</vt:lpstr>
      <vt:lpstr>Identifiers</vt:lpstr>
      <vt:lpstr>Tags</vt:lpstr>
      <vt:lpstr>Brands</vt:lpstr>
      <vt:lpstr>Distribution</vt:lpstr>
      <vt:lpstr>Integrity</vt:lpstr>
      <vt:lpstr>Scan Queue</vt:lpstr>
      <vt:lpstr>Search Hub</vt:lpstr>
      <vt:lpstr>Dashboard</vt:lpstr>
      <vt:lpstr>Rights &amp; Licensing</vt:lpstr>
      <vt:lpstr>System Wiki</vt:lpstr>
      <vt:lpstr>Library Index</vt:lpstr>
      <vt:lpstr>Naming Standard</vt:lpstr>
      <vt:lpstr>Scoreboard</vt:lpstr>
      <vt:lpstr>Credit Splits</vt:lpstr>
      <vt:lpstr>Clone Status</vt:lpstr>
      <vt:lpstr>Scan Commands</vt:lpstr>
      <vt:lpstr>Global Data Map</vt:lpstr>
      <vt:lpstr>Master Monitor</vt:lpstr>
      <vt:lpstr>Blend &amp; Merge Plan</vt:lpstr>
      <vt:lpstr>Dedupe Sim</vt:lpstr>
      <vt:lpstr>Load Balancer</vt:lpstr>
      <vt:lpstr>M2 Ultra Offload</vt:lpstr>
      <vt:lpstr>Action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M2Ultra</cp:lastModifiedBy>
  <dcterms:created xsi:type="dcterms:W3CDTF">2018-06-07T17:34:22Z</dcterms:created>
  <dcterms:modified xsi:type="dcterms:W3CDTF">2026-07-02T01:37:30Z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0x010100CD401524DC532D42A0E0ED886331A72B</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Owner">
    <vt:lpwstr>t-dahop@microsoft.com</vt:lpwstr>
  </property>
  <property fmtid="{D5CDD505-2E9C-101B-9397-08002B2CF9AE}" pid="6" name="MSIP_Label_f42aa342-8706-4288-bd11-ebb85995028c_SetDate">
    <vt:lpwstr>2018-06-18T14:22:57.3833839Z</vt:lpwstr>
  </property>
  <property fmtid="{D5CDD505-2E9C-101B-9397-08002B2CF9AE}" pid="7" name="MSIP_Label_f42aa342-8706-4288-bd11-ebb85995028c_Name">
    <vt:lpwstr>General</vt:lpwstr>
  </property>
  <property fmtid="{D5CDD505-2E9C-101B-9397-08002B2CF9AE}" pid="8" name="MSIP_Label_f42aa342-8706-4288-bd11-ebb85995028c_Application">
    <vt:lpwstr>Microsoft Azure Information Protection</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